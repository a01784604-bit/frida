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fridalaniado/Desktop/"/>
    </mc:Choice>
  </mc:AlternateContent>
  <xr:revisionPtr revIDLastSave="0" documentId="13_ncr:1_{C7C96EC9-4981-7E43-92A8-19292EC5F5B2}" xr6:coauthVersionLast="47" xr6:coauthVersionMax="47" xr10:uidLastSave="{00000000-0000-0000-0000-000000000000}"/>
  <bookViews>
    <workbookView xWindow="0" yWindow="600" windowWidth="28800" windowHeight="15720" firstSheet="5" activeTab="5" xr2:uid="{EC228A9E-5A06-45DE-84BB-0D697D676F43}"/>
  </bookViews>
  <sheets>
    <sheet name="Supuestos" sheetId="1" r:id="rId1"/>
    <sheet name="EUR A MXN" sheetId="2" r:id="rId2"/>
    <sheet name="Datos Proporcionados CL Circula" sheetId="6" r:id="rId3"/>
    <sheet name="Bono español a 10 años" sheetId="3" r:id="rId4"/>
    <sheet name="Inflación INEGI" sheetId="4" r:id="rId5"/>
    <sheet name="Industria Automotriz" sheetId="7" r:id="rId6"/>
    <sheet name="Sin Financiamiento" sheetId="9" r:id="rId7"/>
    <sheet name="Con finacimiento" sheetId="10" r:id="rId8"/>
    <sheet name="Con finacimiento PESIMISTA" sheetId="11" r:id="rId9"/>
    <sheet name="Con finacimiento OPTIMISTA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3" l="1"/>
  <c r="K7" i="13"/>
  <c r="K8" i="13" s="1"/>
  <c r="K9" i="13" s="1"/>
  <c r="J7" i="13"/>
  <c r="I7" i="13"/>
  <c r="H7" i="13"/>
  <c r="G7" i="13"/>
  <c r="F7" i="13"/>
  <c r="E7" i="13"/>
  <c r="D7" i="13"/>
  <c r="C7" i="13"/>
  <c r="B29" i="13"/>
  <c r="I22" i="13"/>
  <c r="J22" i="13" s="1"/>
  <c r="K22" i="13" s="1"/>
  <c r="L22" i="13" s="1"/>
  <c r="L14" i="13"/>
  <c r="I14" i="13"/>
  <c r="B12" i="13"/>
  <c r="B19" i="13" s="1"/>
  <c r="C10" i="13"/>
  <c r="D10" i="13" s="1"/>
  <c r="E10" i="13" s="1"/>
  <c r="F10" i="13" s="1"/>
  <c r="G10" i="13" s="1"/>
  <c r="H10" i="13" s="1"/>
  <c r="I10" i="13" s="1"/>
  <c r="J10" i="13" s="1"/>
  <c r="K10" i="13" s="1"/>
  <c r="L10" i="13" s="1"/>
  <c r="L8" i="13"/>
  <c r="L9" i="13" s="1"/>
  <c r="I8" i="13"/>
  <c r="I9" i="13" s="1"/>
  <c r="I11" i="13" s="1"/>
  <c r="H8" i="13"/>
  <c r="H9" i="13" s="1"/>
  <c r="H11" i="13" s="1"/>
  <c r="G8" i="13"/>
  <c r="E8" i="13"/>
  <c r="J8" i="13"/>
  <c r="J9" i="13" s="1"/>
  <c r="G9" i="13"/>
  <c r="G11" i="13" s="1"/>
  <c r="F8" i="13"/>
  <c r="E9" i="13"/>
  <c r="E11" i="13" s="1"/>
  <c r="D8" i="13"/>
  <c r="C8" i="13"/>
  <c r="B7" i="13"/>
  <c r="B8" i="13" s="1"/>
  <c r="L7" i="11"/>
  <c r="K7" i="11"/>
  <c r="K8" i="11" s="1"/>
  <c r="J7" i="11"/>
  <c r="I7" i="11"/>
  <c r="H7" i="11"/>
  <c r="G7" i="11"/>
  <c r="F7" i="11"/>
  <c r="E7" i="11"/>
  <c r="D7" i="11"/>
  <c r="C7" i="11"/>
  <c r="B7" i="11"/>
  <c r="E8" i="11"/>
  <c r="D8" i="11"/>
  <c r="D9" i="11" s="1"/>
  <c r="B8" i="11"/>
  <c r="B9" i="11" s="1"/>
  <c r="B11" i="11" s="1"/>
  <c r="J39" i="7"/>
  <c r="J25" i="7"/>
  <c r="D39" i="7"/>
  <c r="B29" i="11"/>
  <c r="I22" i="11"/>
  <c r="J22" i="11" s="1"/>
  <c r="K22" i="11" s="1"/>
  <c r="L22" i="11" s="1"/>
  <c r="L14" i="11"/>
  <c r="I14" i="11"/>
  <c r="B12" i="11"/>
  <c r="B19" i="11" s="1"/>
  <c r="C10" i="11"/>
  <c r="D10" i="11" s="1"/>
  <c r="E10" i="11" s="1"/>
  <c r="F10" i="11" s="1"/>
  <c r="G10" i="11" s="1"/>
  <c r="H10" i="11" s="1"/>
  <c r="I10" i="11" s="1"/>
  <c r="J10" i="11" s="1"/>
  <c r="K10" i="11" s="1"/>
  <c r="L10" i="11" s="1"/>
  <c r="L8" i="11"/>
  <c r="L9" i="11" s="1"/>
  <c r="J8" i="11"/>
  <c r="J9" i="11" s="1"/>
  <c r="I8" i="11"/>
  <c r="I9" i="11" s="1"/>
  <c r="H8" i="11"/>
  <c r="H9" i="11" s="1"/>
  <c r="G8" i="11"/>
  <c r="G9" i="11" s="1"/>
  <c r="C8" i="11"/>
  <c r="B39" i="9"/>
  <c r="B41" i="9"/>
  <c r="B13" i="1"/>
  <c r="B14" i="1"/>
  <c r="C38" i="7" s="1"/>
  <c r="B12" i="10"/>
  <c r="B10" i="1"/>
  <c r="H34" i="7"/>
  <c r="B29" i="10"/>
  <c r="I22" i="10"/>
  <c r="J22" i="10" s="1"/>
  <c r="K22" i="10" s="1"/>
  <c r="L22" i="10" s="1"/>
  <c r="L14" i="10"/>
  <c r="I14" i="10"/>
  <c r="C10" i="10"/>
  <c r="D10" i="10" s="1"/>
  <c r="E10" i="10" s="1"/>
  <c r="F10" i="10" s="1"/>
  <c r="G10" i="10" s="1"/>
  <c r="H10" i="10" s="1"/>
  <c r="I10" i="10" s="1"/>
  <c r="J10" i="10" s="1"/>
  <c r="K10" i="10" s="1"/>
  <c r="L10" i="10" s="1"/>
  <c r="H24" i="7"/>
  <c r="H25" i="7" s="1"/>
  <c r="H26" i="7" s="1"/>
  <c r="H27" i="7" s="1"/>
  <c r="H28" i="7" s="1"/>
  <c r="H29" i="7" s="1"/>
  <c r="H30" i="7" s="1"/>
  <c r="H31" i="7" s="1"/>
  <c r="H32" i="7" s="1"/>
  <c r="H33" i="7" s="1"/>
  <c r="C25" i="7"/>
  <c r="B8" i="1"/>
  <c r="B12" i="1"/>
  <c r="B11" i="1"/>
  <c r="C12" i="10" s="1"/>
  <c r="B12" i="9"/>
  <c r="C12" i="9" s="1"/>
  <c r="D12" i="9" s="1"/>
  <c r="E12" i="9" s="1"/>
  <c r="F12" i="9" s="1"/>
  <c r="G12" i="9" s="1"/>
  <c r="H12" i="9" s="1"/>
  <c r="I12" i="9" s="1"/>
  <c r="J12" i="9" s="1"/>
  <c r="K12" i="9" s="1"/>
  <c r="L12" i="9" s="1"/>
  <c r="L19" i="9" s="1"/>
  <c r="C10" i="9"/>
  <c r="D10" i="9" s="1"/>
  <c r="B7" i="1"/>
  <c r="H9" i="7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B5" i="1"/>
  <c r="C4" i="7" s="1"/>
  <c r="C9" i="7" s="1"/>
  <c r="C10" i="7" s="1"/>
  <c r="C11" i="7" s="1"/>
  <c r="L11" i="13" l="1"/>
  <c r="L30" i="13"/>
  <c r="L40" i="13"/>
  <c r="I30" i="13"/>
  <c r="J11" i="13"/>
  <c r="K11" i="13"/>
  <c r="H30" i="13"/>
  <c r="F9" i="13"/>
  <c r="F11" i="13" s="1"/>
  <c r="C12" i="13"/>
  <c r="B9" i="13"/>
  <c r="B11" i="13" s="1"/>
  <c r="C9" i="13"/>
  <c r="C11" i="13" s="1"/>
  <c r="C13" i="13" s="1"/>
  <c r="D9" i="13"/>
  <c r="D11" i="13" s="1"/>
  <c r="C9" i="11"/>
  <c r="C11" i="11" s="1"/>
  <c r="C13" i="11"/>
  <c r="B13" i="11"/>
  <c r="B15" i="11" s="1"/>
  <c r="B30" i="11"/>
  <c r="H11" i="11"/>
  <c r="D11" i="11"/>
  <c r="I11" i="11"/>
  <c r="L11" i="11"/>
  <c r="J11" i="11"/>
  <c r="G11" i="11"/>
  <c r="F8" i="11"/>
  <c r="F9" i="11" s="1"/>
  <c r="F11" i="11" s="1"/>
  <c r="K9" i="11"/>
  <c r="K11" i="11" s="1"/>
  <c r="C12" i="11"/>
  <c r="E9" i="11"/>
  <c r="E11" i="11" s="1"/>
  <c r="J26" i="7"/>
  <c r="J27" i="7" s="1"/>
  <c r="J28" i="7" s="1"/>
  <c r="J29" i="7" s="1"/>
  <c r="J30" i="7" s="1"/>
  <c r="J31" i="7" s="1"/>
  <c r="J32" i="7" s="1"/>
  <c r="J33" i="7" s="1"/>
  <c r="J34" i="7" s="1"/>
  <c r="B7" i="9"/>
  <c r="B8" i="9" s="1"/>
  <c r="B15" i="1"/>
  <c r="H38" i="7" s="1"/>
  <c r="C19" i="10"/>
  <c r="D12" i="10"/>
  <c r="B19" i="10"/>
  <c r="E25" i="7"/>
  <c r="E26" i="7" s="1"/>
  <c r="E27" i="7" s="1"/>
  <c r="E28" i="7" s="1"/>
  <c r="E29" i="7" s="1"/>
  <c r="E30" i="7" s="1"/>
  <c r="E31" i="7" s="1"/>
  <c r="E32" i="7" s="1"/>
  <c r="E33" i="7" s="1"/>
  <c r="E34" i="7" s="1"/>
  <c r="C39" i="7"/>
  <c r="C40" i="7" s="1"/>
  <c r="C41" i="7" s="1"/>
  <c r="C42" i="7" s="1"/>
  <c r="C43" i="7" s="1"/>
  <c r="C44" i="7" s="1"/>
  <c r="C45" i="7" s="1"/>
  <c r="C46" i="7" s="1"/>
  <c r="C47" i="7" s="1"/>
  <c r="C48" i="7" s="1"/>
  <c r="E39" i="7"/>
  <c r="E40" i="7" s="1"/>
  <c r="E41" i="7" s="1"/>
  <c r="E42" i="7" s="1"/>
  <c r="E43" i="7" s="1"/>
  <c r="E44" i="7" s="1"/>
  <c r="E45" i="7" s="1"/>
  <c r="E46" i="7" s="1"/>
  <c r="E47" i="7" s="1"/>
  <c r="E48" i="7" s="1"/>
  <c r="D40" i="7"/>
  <c r="D41" i="7" s="1"/>
  <c r="D42" i="7" s="1"/>
  <c r="D43" i="7" s="1"/>
  <c r="D44" i="7" s="1"/>
  <c r="D45" i="7" s="1"/>
  <c r="D46" i="7" s="1"/>
  <c r="D47" i="7" s="1"/>
  <c r="D48" i="7" s="1"/>
  <c r="J40" i="7"/>
  <c r="J41" i="7" s="1"/>
  <c r="J42" i="7" s="1"/>
  <c r="J43" i="7" s="1"/>
  <c r="J44" i="7" s="1"/>
  <c r="J45" i="7" s="1"/>
  <c r="J46" i="7" s="1"/>
  <c r="J47" i="7" s="1"/>
  <c r="J48" i="7" s="1"/>
  <c r="E10" i="7"/>
  <c r="E11" i="7" s="1"/>
  <c r="E12" i="7" s="1"/>
  <c r="E13" i="7" s="1"/>
  <c r="E14" i="7" s="1"/>
  <c r="E15" i="7" s="1"/>
  <c r="E16" i="7" s="1"/>
  <c r="E17" i="7" s="1"/>
  <c r="E18" i="7" s="1"/>
  <c r="E1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F19" i="9"/>
  <c r="K19" i="9"/>
  <c r="B19" i="9"/>
  <c r="J19" i="9"/>
  <c r="I19" i="9"/>
  <c r="H19" i="9"/>
  <c r="G19" i="9"/>
  <c r="B9" i="9"/>
  <c r="B11" i="9" s="1"/>
  <c r="E19" i="9"/>
  <c r="D19" i="9"/>
  <c r="C19" i="9"/>
  <c r="E10" i="9"/>
  <c r="I25" i="7"/>
  <c r="I26" i="7" s="1"/>
  <c r="I27" i="7" s="1"/>
  <c r="I28" i="7" s="1"/>
  <c r="I29" i="7" s="1"/>
  <c r="I30" i="7" s="1"/>
  <c r="I31" i="7" s="1"/>
  <c r="I32" i="7" s="1"/>
  <c r="I33" i="7" s="1"/>
  <c r="I34" i="7" s="1"/>
  <c r="C26" i="7"/>
  <c r="C27" i="7" s="1"/>
  <c r="C28" i="7" s="1"/>
  <c r="C29" i="7" s="1"/>
  <c r="C30" i="7" s="1"/>
  <c r="C31" i="7" s="1"/>
  <c r="C32" i="7" s="1"/>
  <c r="C33" i="7" s="1"/>
  <c r="C34" i="7" s="1"/>
  <c r="D25" i="7"/>
  <c r="D26" i="7" s="1"/>
  <c r="D27" i="7" s="1"/>
  <c r="D28" i="7" s="1"/>
  <c r="D29" i="7" s="1"/>
  <c r="D30" i="7" s="1"/>
  <c r="D31" i="7" s="1"/>
  <c r="D32" i="7" s="1"/>
  <c r="D33" i="7" s="1"/>
  <c r="D34" i="7" s="1"/>
  <c r="H10" i="7"/>
  <c r="H11" i="7" s="1"/>
  <c r="H12" i="7" s="1"/>
  <c r="H13" i="7" s="1"/>
  <c r="H14" i="7" s="1"/>
  <c r="H15" i="7" s="1"/>
  <c r="H16" i="7" s="1"/>
  <c r="H17" i="7" s="1"/>
  <c r="H18" i="7" s="1"/>
  <c r="H19" i="7" s="1"/>
  <c r="I10" i="7"/>
  <c r="I11" i="7" s="1"/>
  <c r="I12" i="7" s="1"/>
  <c r="I13" i="7" s="1"/>
  <c r="I14" i="7" s="1"/>
  <c r="I15" i="7" s="1"/>
  <c r="I16" i="7" s="1"/>
  <c r="I17" i="7" s="1"/>
  <c r="I18" i="7" s="1"/>
  <c r="I19" i="7" s="1"/>
  <c r="C12" i="7"/>
  <c r="C13" i="7" s="1"/>
  <c r="K30" i="13" l="1"/>
  <c r="B13" i="13"/>
  <c r="B15" i="13" s="1"/>
  <c r="B30" i="13"/>
  <c r="J30" i="13"/>
  <c r="D13" i="13"/>
  <c r="C19" i="13"/>
  <c r="D12" i="13"/>
  <c r="L30" i="11"/>
  <c r="L40" i="11"/>
  <c r="I30" i="11"/>
  <c r="H30" i="11"/>
  <c r="J30" i="11"/>
  <c r="C19" i="11"/>
  <c r="D12" i="11"/>
  <c r="D13" i="11" s="1"/>
  <c r="K30" i="11"/>
  <c r="B16" i="11"/>
  <c r="B17" i="11" s="1"/>
  <c r="B21" i="11" s="1"/>
  <c r="B24" i="11" s="1"/>
  <c r="I39" i="7"/>
  <c r="I40" i="7" s="1"/>
  <c r="I41" i="7" s="1"/>
  <c r="I42" i="7" s="1"/>
  <c r="I43" i="7" s="1"/>
  <c r="I44" i="7" s="1"/>
  <c r="I45" i="7" s="1"/>
  <c r="I46" i="7" s="1"/>
  <c r="I47" i="7" s="1"/>
  <c r="I48" i="7" s="1"/>
  <c r="B7" i="10"/>
  <c r="H39" i="7"/>
  <c r="C7" i="10" s="1"/>
  <c r="B8" i="10"/>
  <c r="B9" i="10" s="1"/>
  <c r="B11" i="10" s="1"/>
  <c r="B13" i="10" s="1"/>
  <c r="B15" i="10" s="1"/>
  <c r="D19" i="10"/>
  <c r="E12" i="10"/>
  <c r="C7" i="9"/>
  <c r="C8" i="9" s="1"/>
  <c r="C9" i="9" s="1"/>
  <c r="C11" i="9" s="1"/>
  <c r="C13" i="9" s="1"/>
  <c r="B13" i="9"/>
  <c r="B15" i="9" s="1"/>
  <c r="B30" i="9"/>
  <c r="F10" i="9"/>
  <c r="C14" i="7"/>
  <c r="B16" i="13" l="1"/>
  <c r="B17" i="13" s="1"/>
  <c r="B21" i="13" s="1"/>
  <c r="B24" i="13" s="1"/>
  <c r="E12" i="13"/>
  <c r="D19" i="13"/>
  <c r="B33" i="11"/>
  <c r="B39" i="11"/>
  <c r="B41" i="11" s="1"/>
  <c r="D19" i="11"/>
  <c r="E12" i="11"/>
  <c r="B30" i="10"/>
  <c r="B16" i="10"/>
  <c r="B17" i="10" s="1"/>
  <c r="B21" i="10" s="1"/>
  <c r="B24" i="10" s="1"/>
  <c r="C8" i="10"/>
  <c r="C9" i="10" s="1"/>
  <c r="C11" i="10" s="1"/>
  <c r="C13" i="10" s="1"/>
  <c r="H40" i="7"/>
  <c r="D7" i="10" s="1"/>
  <c r="E19" i="10"/>
  <c r="F12" i="10"/>
  <c r="D7" i="9"/>
  <c r="B16" i="9"/>
  <c r="B17" i="9" s="1"/>
  <c r="B21" i="9" s="1"/>
  <c r="G10" i="9"/>
  <c r="C15" i="7"/>
  <c r="B33" i="13" l="1"/>
  <c r="B39" i="13"/>
  <c r="B41" i="13" s="1"/>
  <c r="E19" i="13"/>
  <c r="F12" i="13"/>
  <c r="E13" i="13"/>
  <c r="F12" i="11"/>
  <c r="E19" i="11"/>
  <c r="E13" i="11"/>
  <c r="B33" i="10"/>
  <c r="B39" i="10"/>
  <c r="B41" i="10" s="1"/>
  <c r="H41" i="7"/>
  <c r="E7" i="10" s="1"/>
  <c r="D8" i="10"/>
  <c r="D9" i="10" s="1"/>
  <c r="D11" i="10" s="1"/>
  <c r="D13" i="10" s="1"/>
  <c r="G12" i="10"/>
  <c r="F19" i="10"/>
  <c r="D8" i="9"/>
  <c r="D9" i="9" s="1"/>
  <c r="D11" i="9" s="1"/>
  <c r="D13" i="9" s="1"/>
  <c r="B24" i="9"/>
  <c r="E7" i="9"/>
  <c r="E8" i="9" s="1"/>
  <c r="E9" i="9" s="1"/>
  <c r="E11" i="9" s="1"/>
  <c r="E13" i="9" s="1"/>
  <c r="H10" i="9"/>
  <c r="C16" i="7"/>
  <c r="F19" i="13" l="1"/>
  <c r="G12" i="13"/>
  <c r="F13" i="13"/>
  <c r="F19" i="11"/>
  <c r="G12" i="11"/>
  <c r="F13" i="11"/>
  <c r="B33" i="9"/>
  <c r="H42" i="7"/>
  <c r="F7" i="10" s="1"/>
  <c r="E8" i="10"/>
  <c r="E9" i="10" s="1"/>
  <c r="E11" i="10" s="1"/>
  <c r="E13" i="10" s="1"/>
  <c r="H12" i="10"/>
  <c r="G19" i="10"/>
  <c r="F7" i="9"/>
  <c r="I10" i="9"/>
  <c r="J10" i="9" s="1"/>
  <c r="C17" i="7"/>
  <c r="G19" i="13" l="1"/>
  <c r="H12" i="13"/>
  <c r="G13" i="13"/>
  <c r="G19" i="11"/>
  <c r="H12" i="11"/>
  <c r="G13" i="11"/>
  <c r="H43" i="7"/>
  <c r="G7" i="10" s="1"/>
  <c r="H19" i="10"/>
  <c r="I12" i="10"/>
  <c r="F8" i="9"/>
  <c r="F9" i="9" s="1"/>
  <c r="F11" i="9" s="1"/>
  <c r="F13" i="9" s="1"/>
  <c r="G7" i="9"/>
  <c r="G8" i="9" s="1"/>
  <c r="G9" i="9" s="1"/>
  <c r="G11" i="9" s="1"/>
  <c r="G13" i="9" s="1"/>
  <c r="C18" i="7"/>
  <c r="I12" i="13" l="1"/>
  <c r="H19" i="13"/>
  <c r="H13" i="13"/>
  <c r="H15" i="13" s="1"/>
  <c r="H19" i="11"/>
  <c r="I12" i="11"/>
  <c r="H13" i="11"/>
  <c r="H15" i="11" s="1"/>
  <c r="F8" i="10"/>
  <c r="F9" i="10" s="1"/>
  <c r="F11" i="10" s="1"/>
  <c r="F13" i="10" s="1"/>
  <c r="H44" i="7"/>
  <c r="H7" i="10" s="1"/>
  <c r="G8" i="10"/>
  <c r="G9" i="10" s="1"/>
  <c r="G11" i="10" s="1"/>
  <c r="G13" i="10" s="1"/>
  <c r="I19" i="10"/>
  <c r="J12" i="10"/>
  <c r="H7" i="9"/>
  <c r="K10" i="9"/>
  <c r="C19" i="7"/>
  <c r="H16" i="13" l="1"/>
  <c r="H17" i="13"/>
  <c r="H21" i="13" s="1"/>
  <c r="H24" i="13" s="1"/>
  <c r="I19" i="13"/>
  <c r="J12" i="13"/>
  <c r="I13" i="13"/>
  <c r="I15" i="13" s="1"/>
  <c r="H16" i="11"/>
  <c r="H17" i="11" s="1"/>
  <c r="H21" i="11" s="1"/>
  <c r="H24" i="11" s="1"/>
  <c r="J12" i="11"/>
  <c r="I19" i="11"/>
  <c r="I13" i="11"/>
  <c r="I15" i="11" s="1"/>
  <c r="H45" i="7"/>
  <c r="I7" i="10" s="1"/>
  <c r="K12" i="10"/>
  <c r="J19" i="10"/>
  <c r="H8" i="9"/>
  <c r="H9" i="9" s="1"/>
  <c r="H11" i="9" s="1"/>
  <c r="H13" i="9" s="1"/>
  <c r="I7" i="9"/>
  <c r="I8" i="9" s="1"/>
  <c r="I9" i="9" s="1"/>
  <c r="I11" i="9" s="1"/>
  <c r="I13" i="9" s="1"/>
  <c r="L10" i="9"/>
  <c r="I16" i="13" l="1"/>
  <c r="I17" i="13" s="1"/>
  <c r="I21" i="13" s="1"/>
  <c r="I24" i="13" s="1"/>
  <c r="J19" i="13"/>
  <c r="K12" i="13"/>
  <c r="J13" i="13"/>
  <c r="J15" i="13" s="1"/>
  <c r="H33" i="13"/>
  <c r="H39" i="13"/>
  <c r="H41" i="13" s="1"/>
  <c r="I16" i="11"/>
  <c r="I17" i="11" s="1"/>
  <c r="I21" i="11" s="1"/>
  <c r="I24" i="11" s="1"/>
  <c r="J19" i="11"/>
  <c r="K12" i="11"/>
  <c r="J13" i="11"/>
  <c r="J15" i="11" s="1"/>
  <c r="H33" i="11"/>
  <c r="H39" i="11"/>
  <c r="H41" i="11" s="1"/>
  <c r="H8" i="10"/>
  <c r="H9" i="10" s="1"/>
  <c r="H11" i="10" s="1"/>
  <c r="H46" i="7"/>
  <c r="J7" i="10" s="1"/>
  <c r="I8" i="10"/>
  <c r="I9" i="10" s="1"/>
  <c r="I11" i="10" s="1"/>
  <c r="I30" i="10" s="1"/>
  <c r="L12" i="10"/>
  <c r="K19" i="10"/>
  <c r="J7" i="9"/>
  <c r="J8" i="9" s="1"/>
  <c r="J9" i="9" s="1"/>
  <c r="J11" i="9" s="1"/>
  <c r="J13" i="9" s="1"/>
  <c r="I33" i="13" l="1"/>
  <c r="I39" i="13"/>
  <c r="I41" i="13" s="1"/>
  <c r="J16" i="13"/>
  <c r="J17" i="13" s="1"/>
  <c r="J21" i="13" s="1"/>
  <c r="J24" i="13" s="1"/>
  <c r="K19" i="13"/>
  <c r="L12" i="13"/>
  <c r="K13" i="13"/>
  <c r="K15" i="13" s="1"/>
  <c r="J16" i="11"/>
  <c r="J17" i="11" s="1"/>
  <c r="J21" i="11" s="1"/>
  <c r="J24" i="11" s="1"/>
  <c r="L12" i="11"/>
  <c r="K19" i="11"/>
  <c r="K13" i="11"/>
  <c r="K15" i="11" s="1"/>
  <c r="I33" i="11"/>
  <c r="I39" i="11"/>
  <c r="I41" i="11" s="1"/>
  <c r="I13" i="10"/>
  <c r="I15" i="10" s="1"/>
  <c r="I16" i="10" s="1"/>
  <c r="I17" i="10" s="1"/>
  <c r="I21" i="10" s="1"/>
  <c r="I24" i="10" s="1"/>
  <c r="H47" i="7"/>
  <c r="K7" i="10" s="1"/>
  <c r="H13" i="10"/>
  <c r="H15" i="10" s="1"/>
  <c r="H16" i="10" s="1"/>
  <c r="H17" i="10" s="1"/>
  <c r="H21" i="10" s="1"/>
  <c r="H24" i="10" s="1"/>
  <c r="H30" i="10"/>
  <c r="L19" i="10"/>
  <c r="L7" i="9"/>
  <c r="L8" i="9" s="1"/>
  <c r="L9" i="9" s="1"/>
  <c r="L11" i="9" s="1"/>
  <c r="K7" i="9"/>
  <c r="K8" i="9" s="1"/>
  <c r="K9" i="9" s="1"/>
  <c r="K11" i="9" s="1"/>
  <c r="K13" i="9" s="1"/>
  <c r="K16" i="13" l="1"/>
  <c r="K17" i="13" s="1"/>
  <c r="K21" i="13" s="1"/>
  <c r="K24" i="13" s="1"/>
  <c r="L19" i="13"/>
  <c r="L13" i="13"/>
  <c r="L15" i="13" s="1"/>
  <c r="J33" i="13"/>
  <c r="J39" i="13"/>
  <c r="J41" i="13" s="1"/>
  <c r="J39" i="11"/>
  <c r="J41" i="11" s="1"/>
  <c r="J33" i="11"/>
  <c r="K16" i="11"/>
  <c r="K17" i="11" s="1"/>
  <c r="K21" i="11" s="1"/>
  <c r="K24" i="11" s="1"/>
  <c r="L19" i="11"/>
  <c r="L13" i="11"/>
  <c r="L15" i="11" s="1"/>
  <c r="L13" i="9"/>
  <c r="L40" i="9"/>
  <c r="H33" i="10"/>
  <c r="H39" i="10"/>
  <c r="H41" i="10" s="1"/>
  <c r="I33" i="10"/>
  <c r="I39" i="10"/>
  <c r="I41" i="10" s="1"/>
  <c r="J8" i="10"/>
  <c r="J9" i="10" s="1"/>
  <c r="J11" i="10" s="1"/>
  <c r="H48" i="7"/>
  <c r="L7" i="10" s="1"/>
  <c r="L8" i="10" s="1"/>
  <c r="L9" i="10" s="1"/>
  <c r="L11" i="10" s="1"/>
  <c r="L40" i="10" s="1"/>
  <c r="K8" i="10"/>
  <c r="K9" i="10" s="1"/>
  <c r="K11" i="10" s="1"/>
  <c r="K30" i="10" s="1"/>
  <c r="K39" i="13" l="1"/>
  <c r="K41" i="13" s="1"/>
  <c r="K33" i="13"/>
  <c r="L16" i="13"/>
  <c r="L17" i="13"/>
  <c r="L21" i="13" s="1"/>
  <c r="L24" i="13" s="1"/>
  <c r="K33" i="11"/>
  <c r="K39" i="11"/>
  <c r="K41" i="11" s="1"/>
  <c r="L16" i="11"/>
  <c r="L17" i="11" s="1"/>
  <c r="L21" i="11" s="1"/>
  <c r="L24" i="11" s="1"/>
  <c r="K13" i="10"/>
  <c r="K15" i="10" s="1"/>
  <c r="K16" i="10" s="1"/>
  <c r="K17" i="10" s="1"/>
  <c r="K21" i="10" s="1"/>
  <c r="K24" i="10" s="1"/>
  <c r="K33" i="10" s="1"/>
  <c r="K39" i="10"/>
  <c r="K41" i="10" s="1"/>
  <c r="J30" i="10"/>
  <c r="J13" i="10"/>
  <c r="J15" i="10" s="1"/>
  <c r="J16" i="10" s="1"/>
  <c r="J17" i="10" s="1"/>
  <c r="J21" i="10" s="1"/>
  <c r="J24" i="10" s="1"/>
  <c r="L30" i="10"/>
  <c r="L13" i="10"/>
  <c r="L15" i="10" s="1"/>
  <c r="L16" i="10" s="1"/>
  <c r="L17" i="10" s="1"/>
  <c r="L21" i="10" s="1"/>
  <c r="L24" i="10" s="1"/>
  <c r="L33" i="13" l="1"/>
  <c r="L39" i="13"/>
  <c r="L41" i="13" s="1"/>
  <c r="L39" i="11"/>
  <c r="L41" i="11" s="1"/>
  <c r="L33" i="11"/>
  <c r="L33" i="10"/>
  <c r="L39" i="10"/>
  <c r="L41" i="10" s="1"/>
  <c r="J33" i="10"/>
  <c r="J39" i="10"/>
  <c r="J41" i="10" s="1"/>
  <c r="B4" i="1" l="1"/>
  <c r="E6" i="4"/>
  <c r="E5" i="4"/>
  <c r="D6" i="6"/>
  <c r="C6" i="6"/>
  <c r="D10" i="6"/>
  <c r="D5" i="6"/>
  <c r="D3" i="6"/>
  <c r="D2" i="6"/>
  <c r="C10" i="6"/>
  <c r="C5" i="6"/>
  <c r="C3" i="6"/>
  <c r="C2" i="6"/>
  <c r="D16" i="6"/>
  <c r="C16" i="6"/>
  <c r="D13" i="6"/>
  <c r="C13" i="6"/>
  <c r="D11" i="6"/>
  <c r="C11" i="6"/>
  <c r="D7" i="6"/>
  <c r="C7" i="6"/>
  <c r="D4" i="6"/>
  <c r="C4" i="6"/>
  <c r="B3" i="1" l="1"/>
  <c r="J3" i="3"/>
  <c r="J2" i="3"/>
  <c r="B3" i="2" a="1"/>
  <c r="D16" i="2" l="1"/>
  <c r="D28" i="2"/>
  <c r="D40" i="2"/>
  <c r="D52" i="2"/>
  <c r="D64" i="2"/>
  <c r="D76" i="2"/>
  <c r="D88" i="2"/>
  <c r="D100" i="2"/>
  <c r="D112" i="2"/>
  <c r="D124" i="2"/>
  <c r="D17" i="2"/>
  <c r="D29" i="2"/>
  <c r="D41" i="2"/>
  <c r="D53" i="2"/>
  <c r="D65" i="2"/>
  <c r="D77" i="2"/>
  <c r="D89" i="2"/>
  <c r="D101" i="2"/>
  <c r="D113" i="2"/>
  <c r="D5" i="2"/>
  <c r="D36" i="2"/>
  <c r="D85" i="2"/>
  <c r="D63" i="2"/>
  <c r="D6" i="2"/>
  <c r="D18" i="2"/>
  <c r="D30" i="2"/>
  <c r="D42" i="2"/>
  <c r="D54" i="2"/>
  <c r="D66" i="2"/>
  <c r="D78" i="2"/>
  <c r="D90" i="2"/>
  <c r="D102" i="2"/>
  <c r="D114" i="2"/>
  <c r="G4" i="2"/>
  <c r="D24" i="2"/>
  <c r="D73" i="2"/>
  <c r="D97" i="2"/>
  <c r="D87" i="2"/>
  <c r="D7" i="2"/>
  <c r="D19" i="2"/>
  <c r="D31" i="2"/>
  <c r="D43" i="2"/>
  <c r="D55" i="2"/>
  <c r="D67" i="2"/>
  <c r="D79" i="2"/>
  <c r="D91" i="2"/>
  <c r="D103" i="2"/>
  <c r="D115" i="2"/>
  <c r="G3" i="2"/>
  <c r="D83" i="2"/>
  <c r="D84" i="2"/>
  <c r="D120" i="2"/>
  <c r="D61" i="2"/>
  <c r="D99" i="2"/>
  <c r="D8" i="2"/>
  <c r="D20" i="2"/>
  <c r="D32" i="2"/>
  <c r="D44" i="2"/>
  <c r="D56" i="2"/>
  <c r="D68" i="2"/>
  <c r="D80" i="2"/>
  <c r="D92" i="2"/>
  <c r="D104" i="2"/>
  <c r="D116" i="2"/>
  <c r="D95" i="2"/>
  <c r="D48" i="2"/>
  <c r="D108" i="2"/>
  <c r="D13" i="2"/>
  <c r="D15" i="2"/>
  <c r="D111" i="2"/>
  <c r="D9" i="2"/>
  <c r="D21" i="2"/>
  <c r="D33" i="2"/>
  <c r="D45" i="2"/>
  <c r="D57" i="2"/>
  <c r="D69" i="2"/>
  <c r="D81" i="2"/>
  <c r="D93" i="2"/>
  <c r="D105" i="2"/>
  <c r="D117" i="2"/>
  <c r="D71" i="2"/>
  <c r="D60" i="2"/>
  <c r="D25" i="2"/>
  <c r="D121" i="2"/>
  <c r="D51" i="2"/>
  <c r="D123" i="2"/>
  <c r="D10" i="2"/>
  <c r="D22" i="2"/>
  <c r="D34" i="2"/>
  <c r="D46" i="2"/>
  <c r="D58" i="2"/>
  <c r="D70" i="2"/>
  <c r="D82" i="2"/>
  <c r="D94" i="2"/>
  <c r="D106" i="2"/>
  <c r="D118" i="2"/>
  <c r="D107" i="2"/>
  <c r="D72" i="2"/>
  <c r="D37" i="2"/>
  <c r="D75" i="2"/>
  <c r="D11" i="2"/>
  <c r="D23" i="2"/>
  <c r="D35" i="2"/>
  <c r="D47" i="2"/>
  <c r="D59" i="2"/>
  <c r="D119" i="2"/>
  <c r="D12" i="2"/>
  <c r="D96" i="2"/>
  <c r="D49" i="2"/>
  <c r="D109" i="2"/>
  <c r="D39" i="2"/>
  <c r="D14" i="2"/>
  <c r="D26" i="2"/>
  <c r="D38" i="2"/>
  <c r="D50" i="2"/>
  <c r="D62" i="2"/>
  <c r="D74" i="2"/>
  <c r="D86" i="2"/>
  <c r="D98" i="2"/>
  <c r="D110" i="2"/>
  <c r="D122" i="2"/>
  <c r="D27" i="2"/>
  <c r="B3" i="2"/>
  <c r="B2" i="1" l="1"/>
  <c r="G7" i="2"/>
  <c r="H7" i="2" s="1"/>
  <c r="B31" i="11" l="1"/>
  <c r="C31" i="11" s="1"/>
  <c r="D31" i="11" s="1"/>
  <c r="E31" i="11" s="1"/>
  <c r="F31" i="11" s="1"/>
  <c r="G31" i="11" s="1"/>
  <c r="H31" i="11" s="1"/>
  <c r="I31" i="11" s="1"/>
  <c r="J31" i="11" s="1"/>
  <c r="K31" i="11" s="1"/>
  <c r="L31" i="11" s="1"/>
  <c r="B31" i="13"/>
  <c r="C14" i="11"/>
  <c r="B31" i="9"/>
  <c r="C31" i="9" s="1"/>
  <c r="D31" i="9" s="1"/>
  <c r="B31" i="10"/>
  <c r="C31" i="13" l="1"/>
  <c r="D31" i="13" s="1"/>
  <c r="E31" i="13" s="1"/>
  <c r="F31" i="13" s="1"/>
  <c r="G31" i="13" s="1"/>
  <c r="H31" i="13" s="1"/>
  <c r="I31" i="13" s="1"/>
  <c r="J31" i="13" s="1"/>
  <c r="K31" i="13" s="1"/>
  <c r="L31" i="13" s="1"/>
  <c r="C14" i="13"/>
  <c r="C22" i="11"/>
  <c r="D14" i="11"/>
  <c r="C15" i="11"/>
  <c r="C16" i="11" s="1"/>
  <c r="C17" i="11" s="1"/>
  <c r="C21" i="11" s="1"/>
  <c r="C24" i="11" s="1"/>
  <c r="C14" i="9"/>
  <c r="D14" i="9" s="1"/>
  <c r="E14" i="9" s="1"/>
  <c r="F14" i="9" s="1"/>
  <c r="G14" i="9" s="1"/>
  <c r="I14" i="9" s="1"/>
  <c r="L14" i="9" s="1"/>
  <c r="C31" i="10"/>
  <c r="D31" i="10" s="1"/>
  <c r="E31" i="10" s="1"/>
  <c r="F31" i="10" s="1"/>
  <c r="G31" i="10" s="1"/>
  <c r="H31" i="10" s="1"/>
  <c r="I31" i="10" s="1"/>
  <c r="J31" i="10" s="1"/>
  <c r="K31" i="10" s="1"/>
  <c r="L31" i="10" s="1"/>
  <c r="C14" i="10"/>
  <c r="E31" i="9"/>
  <c r="D14" i="13" l="1"/>
  <c r="C22" i="13"/>
  <c r="C15" i="13"/>
  <c r="E14" i="11"/>
  <c r="D15" i="11"/>
  <c r="C33" i="11"/>
  <c r="C39" i="11"/>
  <c r="C41" i="11" s="1"/>
  <c r="D22" i="11"/>
  <c r="E22" i="11" s="1"/>
  <c r="F22" i="11" s="1"/>
  <c r="C28" i="11"/>
  <c r="C22" i="9"/>
  <c r="D22" i="9" s="1"/>
  <c r="E22" i="9" s="1"/>
  <c r="F22" i="9" s="1"/>
  <c r="I22" i="9" s="1"/>
  <c r="D14" i="10"/>
  <c r="C22" i="10"/>
  <c r="C15" i="10"/>
  <c r="C16" i="10" s="1"/>
  <c r="C17" i="10" s="1"/>
  <c r="C21" i="10" s="1"/>
  <c r="F31" i="9"/>
  <c r="C16" i="13" l="1"/>
  <c r="C17" i="13" s="1"/>
  <c r="C21" i="13" s="1"/>
  <c r="C24" i="13" s="1"/>
  <c r="D22" i="13"/>
  <c r="E22" i="13" s="1"/>
  <c r="F22" i="13" s="1"/>
  <c r="C28" i="13"/>
  <c r="E14" i="13"/>
  <c r="D15" i="13"/>
  <c r="D28" i="11"/>
  <c r="C30" i="11"/>
  <c r="D16" i="11"/>
  <c r="D17" i="11" s="1"/>
  <c r="D21" i="11" s="1"/>
  <c r="D24" i="11" s="1"/>
  <c r="F14" i="11"/>
  <c r="E15" i="11"/>
  <c r="C24" i="10"/>
  <c r="C33" i="10" s="1"/>
  <c r="J22" i="9"/>
  <c r="K22" i="9" s="1"/>
  <c r="L22" i="9" s="1"/>
  <c r="D22" i="10"/>
  <c r="E22" i="10" s="1"/>
  <c r="F22" i="10" s="1"/>
  <c r="C28" i="10"/>
  <c r="E14" i="10"/>
  <c r="D15" i="10"/>
  <c r="D16" i="10" s="1"/>
  <c r="D17" i="10" s="1"/>
  <c r="D21" i="10" s="1"/>
  <c r="D24" i="10" s="1"/>
  <c r="G31" i="9"/>
  <c r="C39" i="13" l="1"/>
  <c r="C41" i="13" s="1"/>
  <c r="C33" i="13"/>
  <c r="F14" i="13"/>
  <c r="E15" i="13"/>
  <c r="E16" i="13" s="1"/>
  <c r="E17" i="13" s="1"/>
  <c r="E21" i="13" s="1"/>
  <c r="E24" i="13" s="1"/>
  <c r="D16" i="13"/>
  <c r="D17" i="13" s="1"/>
  <c r="D21" i="13" s="1"/>
  <c r="D24" i="13" s="1"/>
  <c r="C30" i="13"/>
  <c r="D28" i="13"/>
  <c r="D33" i="11"/>
  <c r="D39" i="11"/>
  <c r="D41" i="11" s="1"/>
  <c r="E16" i="11"/>
  <c r="E17" i="11" s="1"/>
  <c r="E21" i="11" s="1"/>
  <c r="E24" i="11" s="1"/>
  <c r="G14" i="11"/>
  <c r="G15" i="11" s="1"/>
  <c r="G16" i="11" s="1"/>
  <c r="G17" i="11" s="1"/>
  <c r="G21" i="11" s="1"/>
  <c r="G24" i="11" s="1"/>
  <c r="F15" i="11"/>
  <c r="D30" i="11"/>
  <c r="E28" i="11"/>
  <c r="C39" i="10"/>
  <c r="C41" i="10" s="1"/>
  <c r="D33" i="10"/>
  <c r="D39" i="10"/>
  <c r="D41" i="10" s="1"/>
  <c r="F14" i="10"/>
  <c r="E15" i="10"/>
  <c r="E16" i="10" s="1"/>
  <c r="E17" i="10" s="1"/>
  <c r="E21" i="10" s="1"/>
  <c r="E24" i="10" s="1"/>
  <c r="D28" i="10"/>
  <c r="C30" i="10"/>
  <c r="H31" i="9"/>
  <c r="D33" i="13" l="1"/>
  <c r="D39" i="13"/>
  <c r="D41" i="13" s="1"/>
  <c r="G14" i="13"/>
  <c r="G15" i="13" s="1"/>
  <c r="G16" i="13" s="1"/>
  <c r="G17" i="13" s="1"/>
  <c r="G21" i="13" s="1"/>
  <c r="G24" i="13" s="1"/>
  <c r="F15" i="13"/>
  <c r="F16" i="13" s="1"/>
  <c r="F17" i="13" s="1"/>
  <c r="F21" i="13" s="1"/>
  <c r="F24" i="13" s="1"/>
  <c r="E28" i="13"/>
  <c r="D30" i="13"/>
  <c r="E33" i="13"/>
  <c r="E39" i="13"/>
  <c r="E41" i="13" s="1"/>
  <c r="F28" i="11"/>
  <c r="E30" i="11"/>
  <c r="E39" i="11"/>
  <c r="E41" i="11" s="1"/>
  <c r="E33" i="11"/>
  <c r="F16" i="11"/>
  <c r="F17" i="11" s="1"/>
  <c r="F21" i="11" s="1"/>
  <c r="F24" i="11" s="1"/>
  <c r="G33" i="11"/>
  <c r="G39" i="11"/>
  <c r="G41" i="11" s="1"/>
  <c r="E33" i="10"/>
  <c r="E39" i="10"/>
  <c r="E41" i="10" s="1"/>
  <c r="E28" i="10"/>
  <c r="D30" i="10"/>
  <c r="G14" i="10"/>
  <c r="G15" i="10" s="1"/>
  <c r="F15" i="10"/>
  <c r="I31" i="9"/>
  <c r="F33" i="13" l="1"/>
  <c r="F39" i="13"/>
  <c r="F41" i="13" s="1"/>
  <c r="F28" i="13"/>
  <c r="E30" i="13"/>
  <c r="G39" i="13"/>
  <c r="G41" i="13" s="1"/>
  <c r="G33" i="13"/>
  <c r="F39" i="11"/>
  <c r="F41" i="11" s="1"/>
  <c r="F33" i="11"/>
  <c r="G28" i="11"/>
  <c r="G30" i="11" s="1"/>
  <c r="F30" i="11"/>
  <c r="F16" i="10"/>
  <c r="F17" i="10" s="1"/>
  <c r="F21" i="10" s="1"/>
  <c r="F24" i="10" s="1"/>
  <c r="F33" i="10" s="1"/>
  <c r="G16" i="10"/>
  <c r="G17" i="10" s="1"/>
  <c r="G21" i="10" s="1"/>
  <c r="G24" i="10" s="1"/>
  <c r="F28" i="10"/>
  <c r="E30" i="10"/>
  <c r="J31" i="9"/>
  <c r="G28" i="13" l="1"/>
  <c r="G30" i="13" s="1"/>
  <c r="F30" i="13"/>
  <c r="G33" i="10"/>
  <c r="G39" i="10"/>
  <c r="G41" i="10" s="1"/>
  <c r="F39" i="10"/>
  <c r="F41" i="10" s="1"/>
  <c r="G28" i="10"/>
  <c r="G30" i="10" s="1"/>
  <c r="F30" i="10"/>
  <c r="K31" i="9"/>
  <c r="L31" i="9" l="1"/>
  <c r="C15" i="9"/>
  <c r="C16" i="9" s="1"/>
  <c r="C28" i="9"/>
  <c r="D28" i="9" s="1"/>
  <c r="E28" i="9" s="1"/>
  <c r="F28" i="9" s="1"/>
  <c r="G28" i="9" s="1"/>
  <c r="C30" i="9" l="1"/>
  <c r="C17" i="9"/>
  <c r="C21" i="9" s="1"/>
  <c r="C24" i="9" s="1"/>
  <c r="C33" i="9" l="1"/>
  <c r="C39" i="9"/>
  <c r="C41" i="9" s="1"/>
  <c r="D15" i="9"/>
  <c r="D30" i="9"/>
  <c r="E15" i="9" l="1"/>
  <c r="E30" i="9"/>
  <c r="D16" i="9"/>
  <c r="D17" i="9" s="1"/>
  <c r="D21" i="9" s="1"/>
  <c r="D24" i="9" s="1"/>
  <c r="D33" i="9" l="1"/>
  <c r="D39" i="9"/>
  <c r="D41" i="9" s="1"/>
  <c r="E16" i="9"/>
  <c r="E17" i="9" s="1"/>
  <c r="E21" i="9" s="1"/>
  <c r="E24" i="9" s="1"/>
  <c r="F30" i="9"/>
  <c r="F15" i="9"/>
  <c r="E33" i="9" l="1"/>
  <c r="E39" i="9"/>
  <c r="E41" i="9" s="1"/>
  <c r="F16" i="9"/>
  <c r="F17" i="9" s="1"/>
  <c r="F21" i="9" s="1"/>
  <c r="F24" i="9" s="1"/>
  <c r="G15" i="9"/>
  <c r="G30" i="9"/>
  <c r="F33" i="9" l="1"/>
  <c r="F39" i="9"/>
  <c r="F41" i="9" s="1"/>
  <c r="H30" i="9"/>
  <c r="H15" i="9"/>
  <c r="G16" i="9"/>
  <c r="G17" i="9" s="1"/>
  <c r="G21" i="9" s="1"/>
  <c r="G24" i="9" s="1"/>
  <c r="G33" i="9" l="1"/>
  <c r="G39" i="9"/>
  <c r="G41" i="9" s="1"/>
  <c r="B46" i="9" s="1"/>
  <c r="H16" i="9"/>
  <c r="H17" i="9" s="1"/>
  <c r="H21" i="9" s="1"/>
  <c r="H24" i="9" s="1"/>
  <c r="I30" i="9"/>
  <c r="I15" i="9"/>
  <c r="H33" i="9" l="1"/>
  <c r="H39" i="9"/>
  <c r="H41" i="9" s="1"/>
  <c r="I16" i="9"/>
  <c r="I17" i="9" s="1"/>
  <c r="I21" i="9" s="1"/>
  <c r="I24" i="9" s="1"/>
  <c r="J15" i="9"/>
  <c r="J30" i="9"/>
  <c r="I33" i="9" l="1"/>
  <c r="I39" i="9"/>
  <c r="I41" i="9" s="1"/>
  <c r="J16" i="9"/>
  <c r="J17" i="9" s="1"/>
  <c r="J21" i="9" s="1"/>
  <c r="J24" i="9" s="1"/>
  <c r="K15" i="9"/>
  <c r="K30" i="9"/>
  <c r="J33" i="9" l="1"/>
  <c r="J39" i="9"/>
  <c r="J41" i="9" s="1"/>
  <c r="K16" i="9"/>
  <c r="K17" i="9" s="1"/>
  <c r="K21" i="9" s="1"/>
  <c r="K24" i="9" s="1"/>
  <c r="L30" i="9"/>
  <c r="L15" i="9"/>
  <c r="K33" i="9" l="1"/>
  <c r="K39" i="9"/>
  <c r="K41" i="9" s="1"/>
  <c r="L16" i="9"/>
  <c r="L17" i="9" s="1"/>
  <c r="L21" i="9" s="1"/>
  <c r="L24" i="9" s="1"/>
  <c r="L33" i="9" l="1"/>
  <c r="L39" i="9"/>
  <c r="L41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2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</futureMetadata>
  <cellMetadata count="1">
    <bk>
      <rc t="1" v="0"/>
    </bk>
  </cellMetadata>
  <valueMetadata count="24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</valueMetadata>
</metadata>
</file>

<file path=xl/sharedStrings.xml><?xml version="1.0" encoding="utf-8"?>
<sst xmlns="http://schemas.openxmlformats.org/spreadsheetml/2006/main" count="447" uniqueCount="284">
  <si>
    <t>Tipo de cambio promedio EUR-MXN</t>
  </si>
  <si>
    <t>Promedio</t>
  </si>
  <si>
    <t>Mediana</t>
  </si>
  <si>
    <t>Mensual</t>
  </si>
  <si>
    <t>Anual</t>
  </si>
  <si>
    <t>Fecha</t>
  </si>
  <si>
    <t>Último</t>
  </si>
  <si>
    <t>Apertura</t>
  </si>
  <si>
    <t>Máximo</t>
  </si>
  <si>
    <t>Mínimo</t>
  </si>
  <si>
    <t>% var.</t>
  </si>
  <si>
    <t>01.03.2026</t>
  </si>
  <si>
    <t>9,66%</t>
  </si>
  <si>
    <t>01.02.2026</t>
  </si>
  <si>
    <t>-4,64%</t>
  </si>
  <si>
    <t>01.01.2026</t>
  </si>
  <si>
    <t>-2,40%</t>
  </si>
  <si>
    <t>01.12.2025</t>
  </si>
  <si>
    <t>3,98%</t>
  </si>
  <si>
    <t>01.11.2025</t>
  </si>
  <si>
    <t>0,80%</t>
  </si>
  <si>
    <t>01.10.2025</t>
  </si>
  <si>
    <t>-3,59%</t>
  </si>
  <si>
    <t>01.09.2025</t>
  </si>
  <si>
    <t>-2,16%</t>
  </si>
  <si>
    <t>01.08.2025</t>
  </si>
  <si>
    <t>1,83%</t>
  </si>
  <si>
    <t>01.07.2025</t>
  </si>
  <si>
    <t>0,74%</t>
  </si>
  <si>
    <t>01.06.2025</t>
  </si>
  <si>
    <t>4,81%</t>
  </si>
  <si>
    <t>01.05.2025</t>
  </si>
  <si>
    <t>-0,48%</t>
  </si>
  <si>
    <t>01.04.2025</t>
  </si>
  <si>
    <t>-7,48%</t>
  </si>
  <si>
    <t>01.03.2025</t>
  </si>
  <si>
    <t>8,99%</t>
  </si>
  <si>
    <t>01.02.2025</t>
  </si>
  <si>
    <t>-0,87%</t>
  </si>
  <si>
    <t>01.01.2025</t>
  </si>
  <si>
    <t>1,67%</t>
  </si>
  <si>
    <t>01.12.2024</t>
  </si>
  <si>
    <t>9,87%</t>
  </si>
  <si>
    <t>01.11.2024</t>
  </si>
  <si>
    <t>-10,14%</t>
  </si>
  <si>
    <t>01.10.2024</t>
  </si>
  <si>
    <t>5,74%</t>
  </si>
  <si>
    <t>01.09.2024</t>
  </si>
  <si>
    <t>-6,08%</t>
  </si>
  <si>
    <t>01.08.2024</t>
  </si>
  <si>
    <t>0,19%</t>
  </si>
  <si>
    <t>01.07.2024</t>
  </si>
  <si>
    <t>-8,62%</t>
  </si>
  <si>
    <t>01.06.2024</t>
  </si>
  <si>
    <t>0,56%</t>
  </si>
  <si>
    <t>01.05.2024</t>
  </si>
  <si>
    <t>1,22%</t>
  </si>
  <si>
    <t>01.04.2024</t>
  </si>
  <si>
    <t>6,28%</t>
  </si>
  <si>
    <t>Dif. %</t>
  </si>
  <si>
    <t>Investing.com. (s. f.). Rendimiento del Bono español a 10 años. Recuperado el 8 de marzo de 2026, de https://es.investing.com/rates-bonds/spain-10-year-bond-yield-historical-data</t>
  </si>
  <si>
    <t>Tasa bono español a 10 años</t>
  </si>
  <si>
    <t>Yahoo Finanzas. (s. f.). Precios históricos de acciones y datos de EUR/MXN (EURMXN=X). Recuperado el 8 de marzo de 2026, de https://es-us.finanzas.yahoo.com/quote/EURMXN%3DX/history/</t>
  </si>
  <si>
    <t>COSTE TRANSPORTE</t>
  </si>
  <si>
    <t>COSTE DE VENTAS</t>
  </si>
  <si>
    <t>TOTAL Ozeano COSTS</t>
  </si>
  <si>
    <t>DISTRIBUTORS</t>
  </si>
  <si>
    <t>EEUU</t>
  </si>
  <si>
    <t>CHILE</t>
  </si>
  <si>
    <t>DOMINICAN REPUBLIC</t>
  </si>
  <si>
    <t>SOUTH AFRICA</t>
  </si>
  <si>
    <t>PERU</t>
  </si>
  <si>
    <t>GUATEMALA</t>
  </si>
  <si>
    <t>MÉXICO</t>
  </si>
  <si>
    <t>ECUADOR</t>
  </si>
  <si>
    <t>COLOMBIA</t>
  </si>
  <si>
    <t>SPAIN-GLOBAL</t>
  </si>
  <si>
    <t>TOTAL TRANSPORT COSTS</t>
  </si>
  <si>
    <t>TOTAL PURCHASE</t>
  </si>
  <si>
    <t>Ozeano</t>
  </si>
  <si>
    <t>TOTAL USB devices COSTS</t>
  </si>
  <si>
    <t>USB devices</t>
  </si>
  <si>
    <t>TOTAL CLCircular COSTS</t>
  </si>
  <si>
    <t>TOTAL COMMUNICATION COSTS</t>
  </si>
  <si>
    <t>CLCircular</t>
  </si>
  <si>
    <t>Acum margin Ozeano</t>
  </si>
  <si>
    <t>DLS</t>
  </si>
  <si>
    <t>MXN</t>
  </si>
  <si>
    <t>EUR</t>
  </si>
  <si>
    <t>DLS-MXN</t>
  </si>
  <si>
    <t>DLS-EUR</t>
  </si>
  <si>
    <t>Google Finance. (s. f.). Tipo de cambio de USD a MXN y noticias relacionadas. Recuperado el 8 de marzo de 2026, de https://www.google.com/finance/quote/USD-MXN?hl=es</t>
  </si>
  <si>
    <t>Google Finance. (s. f.). Tipo de cambio de USD a EUR y noticias relacionadas. Recuperado el 8 de marzo de 2026, de https://www.google.com/finance/quote/USD-EUR?hl=es</t>
  </si>
  <si>
    <t>Costos de transporte por unidad</t>
  </si>
  <si>
    <t>Costos de comunicación por unidad</t>
  </si>
  <si>
    <t>% de unidades perdidas</t>
  </si>
  <si>
    <t>Costo de manufactura por unidad</t>
  </si>
  <si>
    <t>Precio de venta por viaje</t>
  </si>
  <si>
    <t>Viajes por dispositivo al año</t>
  </si>
  <si>
    <t>Dispositivos ODM</t>
  </si>
  <si>
    <t>% de margen neto</t>
  </si>
  <si>
    <t>Comisiones de distribuidores ODM %</t>
  </si>
  <si>
    <t>Productos Ozeano</t>
  </si>
  <si>
    <t>Inflación en México</t>
  </si>
  <si>
    <t>Instituto Nacional de Estadística y Geografía (INEGI)</t>
  </si>
  <si>
    <t>Fuente:</t>
  </si>
  <si>
    <t>/f1 INEGI. Índice Nacional de Precios al Consumidor (INPC).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</si>
  <si>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</si>
  <si>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</si>
  <si>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</si>
  <si>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</si>
  <si>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</si>
  <si>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</si>
  <si>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</si>
  <si>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</si>
  <si>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</si>
  <si>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</si>
  <si>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</si>
  <si>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</si>
  <si>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</si>
  <si>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</si>
  <si>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</si>
  <si>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</si>
  <si>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</si>
  <si>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</si>
  <si>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</si>
  <si>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</si>
  <si>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</si>
  <si>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</si>
  <si>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</si>
  <si>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</si>
  <si>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</si>
  <si>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</si>
  <si>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</si>
  <si>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</si>
  <si>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</si>
  <si>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</si>
  <si>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</si>
  <si>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</si>
  <si>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</si>
  <si>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</si>
  <si>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</si>
  <si>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</si>
  <si>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</si>
  <si>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</si>
  <si>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</si>
  <si>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</si>
  <si>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</si>
  <si>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</si>
  <si>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</si>
  <si>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</si>
  <si>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</si>
  <si>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</si>
  <si>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</si>
  <si>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</si>
  <si>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</si>
  <si>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</si>
  <si>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</si>
  <si>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</si>
  <si>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</si>
  <si>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</si>
  <si>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</si>
  <si>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</si>
  <si>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</si>
  <si>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</si>
  <si>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</si>
  <si>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</si>
  <si>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</si>
  <si>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</si>
  <si>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</si>
  <si>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</si>
  <si>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</si>
  <si>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</si>
  <si>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</si>
  <si>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</si>
  <si>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</si>
  <si>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</si>
  <si>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</si>
  <si>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</si>
  <si>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</si>
  <si>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</si>
  <si>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</si>
  <si>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</si>
  <si>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</si>
  <si>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</si>
  <si>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</si>
  <si>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</si>
  <si>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</si>
  <si>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</si>
  <si>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</si>
  <si>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</si>
  <si>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</si>
  <si>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</si>
  <si>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</si>
  <si>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</si>
  <si>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</si>
  <si>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</si>
  <si>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</si>
  <si>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</si>
  <si>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</si>
  <si>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</si>
  <si>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</si>
  <si>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</si>
  <si>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</si>
  <si>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</si>
  <si>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</si>
  <si>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</si>
  <si>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</si>
  <si>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</si>
  <si>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</si>
  <si>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</si>
  <si>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</si>
  <si>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</si>
  <si>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</si>
  <si>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</si>
  <si>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</si>
  <si>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</si>
  <si>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</si>
  <si>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</si>
  <si>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</si>
  <si>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</si>
  <si>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</si>
  <si>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</si>
  <si>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</si>
  <si>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</si>
  <si>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</si>
  <si>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</si>
  <si>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</si>
  <si>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 xml:space="preserve">Exportaciones </t>
  </si>
  <si>
    <t>Industria</t>
  </si>
  <si>
    <t>Automotriz</t>
  </si>
  <si>
    <t xml:space="preserve">Importaciones de la industria </t>
  </si>
  <si>
    <t>Valor de las exportaciones</t>
  </si>
  <si>
    <t>Año</t>
  </si>
  <si>
    <t>Crecimiento en pesos de las exportaciones</t>
  </si>
  <si>
    <t>Escenarios</t>
  </si>
  <si>
    <t xml:space="preserve"> Alto</t>
  </si>
  <si>
    <t xml:space="preserve"> Bajo</t>
  </si>
  <si>
    <t>Crecimiento en numero de contenedores de las exportaciones</t>
  </si>
  <si>
    <t>Aproximado de contenedores exportados</t>
  </si>
  <si>
    <t>Contenedores que ya tienen CL Circular</t>
  </si>
  <si>
    <t>Participacion potencial de mercado</t>
  </si>
  <si>
    <t>Ventas totales México DLS</t>
  </si>
  <si>
    <t>Estados fiancieros Proyectados</t>
  </si>
  <si>
    <t>Ingresos Base</t>
  </si>
  <si>
    <t>Ingreso</t>
  </si>
  <si>
    <t>Costo de Venta</t>
  </si>
  <si>
    <t>Margen bruto</t>
  </si>
  <si>
    <t>Gastos VTs y Admin</t>
  </si>
  <si>
    <t>EBITDA</t>
  </si>
  <si>
    <t>Depreciacion</t>
  </si>
  <si>
    <t>EBIT</t>
  </si>
  <si>
    <t>Intereses</t>
  </si>
  <si>
    <t>EBT</t>
  </si>
  <si>
    <t>Impuestos</t>
  </si>
  <si>
    <t>Utilidad Neta</t>
  </si>
  <si>
    <t>Depreciación</t>
  </si>
  <si>
    <t>Cambio WC</t>
  </si>
  <si>
    <t>Flujo  Operativo</t>
  </si>
  <si>
    <t>Deuda emison /Pago</t>
  </si>
  <si>
    <t>Flujo de Efectivo de Financiamineto</t>
  </si>
  <si>
    <t>Deuda total</t>
  </si>
  <si>
    <t>Nueva Deuda</t>
  </si>
  <si>
    <t>Deuda/Ebitda</t>
  </si>
  <si>
    <t>WC</t>
  </si>
  <si>
    <t>Cambio de WC</t>
  </si>
  <si>
    <t>Capex</t>
  </si>
  <si>
    <t>Free Cash Flow</t>
  </si>
  <si>
    <t>TM</t>
  </si>
  <si>
    <t>FC +TV</t>
  </si>
  <si>
    <t>NUEVO Requerimiento de Capital a Accionistas</t>
  </si>
  <si>
    <t>TIR</t>
  </si>
  <si>
    <t>Costos administrativos</t>
  </si>
  <si>
    <t># numero de sensores en circulación</t>
  </si>
  <si>
    <t>Valor de las unidades en circulación</t>
  </si>
  <si>
    <t>por año</t>
  </si>
  <si>
    <t>Depreciación por unidad (10 años de vida util)</t>
  </si>
  <si>
    <t>Unidades a comprar</t>
  </si>
  <si>
    <t>Nueva participacion depues de inversion</t>
  </si>
  <si>
    <t>Finacimiento con casa matriz</t>
  </si>
  <si>
    <t xml:space="preserve">Participacion de mercado </t>
  </si>
  <si>
    <t>Participacion de mercado con fianciamiento</t>
  </si>
  <si>
    <t>Ventas totales con finaciamiento México DLS</t>
  </si>
  <si>
    <t>Nuevo valor de las unidades en circulación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</si>
</sst>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9"/>
      </right>
      <top style="dotted">
        <color indexed="9"/>
      </top>
      <bottom style="dotted">
        <color indexed="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66">
    <xf numFmtId="0" fontId="0" fillId="0" borderId="0" xfId="0"/>
    <xf numFmtId="0" fontId="0" fillId="2" borderId="0" xfId="0" applyFill="1"/>
    <xf numFmtId="14" fontId="0" fillId="2" borderId="0" xfId="0" applyNumberFormat="1" applyFill="1"/>
    <xf numFmtId="44" fontId="0" fillId="2" borderId="0" xfId="1" applyFont="1" applyFill="1"/>
    <xf numFmtId="9" fontId="0" fillId="2" borderId="0" xfId="2" applyFont="1" applyFill="1"/>
    <xf numFmtId="10" fontId="0" fillId="2" borderId="0" xfId="2" applyNumberFormat="1" applyFont="1" applyFill="1"/>
    <xf numFmtId="10" fontId="0" fillId="2" borderId="0" xfId="0" applyNumberFormat="1" applyFill="1"/>
    <xf numFmtId="0" fontId="3" fillId="0" borderId="0" xfId="3"/>
    <xf numFmtId="3" fontId="0" fillId="2" borderId="0" xfId="0" applyNumberFormat="1" applyFill="1"/>
    <xf numFmtId="0" fontId="3" fillId="2" borderId="0" xfId="3" applyFill="1"/>
    <xf numFmtId="0" fontId="0" fillId="2" borderId="0" xfId="0" applyFill="1" applyAlignment="1">
      <alignment horizontal="right"/>
    </xf>
    <xf numFmtId="0" fontId="7" fillId="2" borderId="0" xfId="4" applyFont="1" applyFill="1"/>
    <xf numFmtId="0" fontId="4" fillId="2" borderId="0" xfId="4" applyFill="1"/>
    <xf numFmtId="0" fontId="6" fillId="2" borderId="0" xfId="4" applyFont="1" applyFill="1"/>
    <xf numFmtId="0" fontId="7" fillId="2" borderId="2" xfId="4" applyFont="1" applyFill="1" applyBorder="1"/>
    <xf numFmtId="0" fontId="7" fillId="2" borderId="3" xfId="4" applyFont="1" applyFill="1" applyBorder="1"/>
    <xf numFmtId="0" fontId="6" fillId="2" borderId="1" xfId="4" applyFont="1" applyFill="1" applyBorder="1"/>
    <xf numFmtId="0" fontId="5" fillId="2" borderId="0" xfId="4" applyFont="1" applyFill="1"/>
    <xf numFmtId="44" fontId="4" fillId="2" borderId="0" xfId="1" applyFont="1" applyFill="1"/>
    <xf numFmtId="9" fontId="4" fillId="2" borderId="0" xfId="2" applyFont="1" applyFill="1"/>
    <xf numFmtId="9" fontId="4" fillId="2" borderId="0" xfId="4" applyNumberFormat="1" applyFill="1"/>
    <xf numFmtId="44" fontId="4" fillId="2" borderId="0" xfId="4" applyNumberFormat="1" applyFill="1"/>
    <xf numFmtId="0" fontId="4" fillId="2" borderId="4" xfId="4" applyFill="1" applyBorder="1"/>
    <xf numFmtId="44" fontId="4" fillId="2" borderId="4" xfId="4" applyNumberFormat="1" applyFill="1" applyBorder="1"/>
    <xf numFmtId="9" fontId="4" fillId="2" borderId="4" xfId="4" applyNumberFormat="1" applyFill="1" applyBorder="1"/>
    <xf numFmtId="0" fontId="0" fillId="2" borderId="0" xfId="0" applyFill="1" applyAlignment="1">
      <alignment horizontal="left" vertical="center" indent="1"/>
    </xf>
    <xf numFmtId="0" fontId="2" fillId="2" borderId="0" xfId="0" applyFont="1" applyFill="1"/>
    <xf numFmtId="0" fontId="8" fillId="2" borderId="0" xfId="0" applyFont="1" applyFill="1"/>
    <xf numFmtId="0" fontId="9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10" fillId="2" borderId="0" xfId="0" applyFont="1" applyFill="1"/>
    <xf numFmtId="164" fontId="0" fillId="0" borderId="13" xfId="1" applyNumberFormat="1" applyFont="1" applyFill="1" applyBorder="1"/>
    <xf numFmtId="164" fontId="0" fillId="0" borderId="14" xfId="1" applyNumberFormat="1" applyFont="1" applyFill="1" applyBorder="1"/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4" fontId="0" fillId="0" borderId="7" xfId="1" applyNumberFormat="1" applyFont="1" applyFill="1" applyBorder="1"/>
    <xf numFmtId="164" fontId="0" fillId="2" borderId="0" xfId="0" applyNumberFormat="1" applyFill="1"/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13" xfId="1" applyNumberFormat="1" applyFont="1" applyFill="1" applyBorder="1"/>
    <xf numFmtId="3" fontId="0" fillId="0" borderId="14" xfId="1" applyNumberFormat="1" applyFont="1" applyFill="1" applyBorder="1"/>
    <xf numFmtId="3" fontId="0" fillId="0" borderId="7" xfId="1" applyNumberFormat="1" applyFont="1" applyFill="1" applyBorder="1"/>
    <xf numFmtId="2" fontId="0" fillId="2" borderId="0" xfId="0" applyNumberFormat="1" applyFill="1"/>
    <xf numFmtId="1" fontId="0" fillId="2" borderId="0" xfId="0" applyNumberFormat="1" applyFill="1"/>
    <xf numFmtId="10" fontId="0" fillId="0" borderId="7" xfId="2" applyNumberFormat="1" applyFont="1" applyFill="1" applyBorder="1"/>
    <xf numFmtId="10" fontId="0" fillId="0" borderId="13" xfId="2" applyNumberFormat="1" applyFont="1" applyFill="1" applyBorder="1"/>
    <xf numFmtId="10" fontId="0" fillId="0" borderId="14" xfId="2" applyNumberFormat="1" applyFont="1" applyFill="1" applyBorder="1"/>
    <xf numFmtId="0" fontId="11" fillId="2" borderId="0" xfId="0" applyFont="1" applyFill="1"/>
    <xf numFmtId="164" fontId="0" fillId="2" borderId="0" xfId="1" applyNumberFormat="1" applyFont="1" applyFill="1"/>
    <xf numFmtId="164" fontId="0" fillId="2" borderId="0" xfId="2" applyNumberFormat="1" applyFont="1" applyFill="1"/>
    <xf numFmtId="0" fontId="11" fillId="3" borderId="0" xfId="0" applyFont="1" applyFill="1"/>
    <xf numFmtId="0" fontId="0" fillId="3" borderId="0" xfId="0" applyFill="1"/>
    <xf numFmtId="164" fontId="0" fillId="3" borderId="0" xfId="0" applyNumberFormat="1" applyFill="1"/>
    <xf numFmtId="164" fontId="0" fillId="3" borderId="0" xfId="1" applyNumberFormat="1" applyFont="1" applyFill="1"/>
    <xf numFmtId="0" fontId="0" fillId="2" borderId="0" xfId="0" applyFill="1" applyAlignment="1">
      <alignment vertical="center" readingOrder="1"/>
    </xf>
    <xf numFmtId="0" fontId="0" fillId="2" borderId="0" xfId="0" applyFill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5">
    <cellStyle name="Hipervínculo" xfId="3" builtinId="8"/>
    <cellStyle name="Moneda" xfId="1" builtinId="4"/>
    <cellStyle name="Normal" xfId="0" builtinId="0"/>
    <cellStyle name="Normal 2" xfId="4" xr:uid="{99FB461E-882D-41C2-8986-C8F09C0B57B6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ichStyles" Target="richData/richStyles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Array" Target="richData/rdarray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1</xdr:col>
      <xdr:colOff>9525</xdr:colOff>
      <xdr:row>46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C13FB-BBE5-6338-F48C-4ACB2CF30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</xdr:colOff>
      <xdr:row>45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FA69F8-FAEC-EA5C-8256-4798E08F3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8315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9525</xdr:colOff>
      <xdr:row>49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80D716-5CC4-349A-F2A2-96162AF0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908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1</xdr:col>
      <xdr:colOff>9525</xdr:colOff>
      <xdr:row>46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44BE3-C841-4F2C-9AF5-6819DCA89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</xdr:colOff>
      <xdr:row>45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EE8B74-1650-488C-B5F8-DC6349FA3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8315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9525</xdr:colOff>
      <xdr:row>49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BA3744E-E761-447F-AC88-27FE8F2D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908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1</xdr:col>
      <xdr:colOff>9525</xdr:colOff>
      <xdr:row>46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9398E8-B39A-4954-8F52-5276A9649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851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</xdr:colOff>
      <xdr:row>45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17CEB3-CE82-4807-BF37-CE82E334B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8315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9525</xdr:colOff>
      <xdr:row>49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8FDE3C-40E0-4DB3-A429-D2F64453A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908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2">
  <a r="1" c="121">
    <v t="i">0</v>
    <v t="i">31</v>
    <v t="i">61</v>
    <v t="i">92</v>
    <v t="i">122</v>
    <v t="i">153</v>
    <v t="i">184</v>
    <v t="i">214</v>
    <v t="i">245</v>
    <v t="i">275</v>
    <v t="i">306</v>
    <v t="i">337</v>
    <v t="i">365</v>
    <v t="i">396</v>
    <v t="i">426</v>
    <v t="i">457</v>
    <v t="i">487</v>
    <v t="i">518</v>
    <v t="i">549</v>
    <v t="i">579</v>
    <v t="i">610</v>
    <v t="i">640</v>
    <v t="i">671</v>
    <v t="i">702</v>
    <v t="i">730</v>
    <v t="i">761</v>
    <v t="i">791</v>
    <v t="i">822</v>
    <v t="i">852</v>
    <v t="i">883</v>
    <v t="i">914</v>
    <v t="i">944</v>
    <v t="i">975</v>
    <v t="i">1005</v>
    <v t="i">1036</v>
    <v t="i">1067</v>
    <v t="i">1095</v>
    <v t="i">1126</v>
    <v t="i">1156</v>
    <v t="i">1187</v>
    <v t="i">1217</v>
    <v t="i">1248</v>
    <v t="i">1279</v>
    <v t="i">1309</v>
    <v t="i">1340</v>
    <v t="i">1370</v>
    <v t="i">1401</v>
    <v t="i">1432</v>
    <v t="i">1461</v>
    <v t="i">1492</v>
    <v t="i">1522</v>
    <v t="i">1553</v>
    <v t="i">1583</v>
    <v t="i">1614</v>
    <v t="i">1645</v>
    <v t="i">1675</v>
    <v t="i">1706</v>
    <v t="i">1736</v>
    <v t="i">1767</v>
    <v t="i">1798</v>
    <v t="i">1826</v>
    <v t="i">1857</v>
    <v t="i">1887</v>
    <v t="i">1918</v>
    <v t="i">1948</v>
    <v t="i">1979</v>
    <v t="i">2010</v>
    <v t="i">2040</v>
    <v t="i">2071</v>
    <v t="i">2101</v>
    <v t="i">2132</v>
    <v t="i">2163</v>
    <v t="i">2191</v>
    <v t="i">2222</v>
    <v t="i">2252</v>
    <v t="i">2283</v>
    <v t="i">2313</v>
    <v t="i">2344</v>
    <v t="i">2375</v>
    <v t="i">2405</v>
    <v t="i">2436</v>
    <v t="i">2466</v>
    <v t="i">2497</v>
    <v t="i">2528</v>
    <v t="i">2556</v>
    <v t="i">2587</v>
    <v t="i">2617</v>
    <v t="i">2648</v>
    <v t="i">2678</v>
    <v t="i">2709</v>
    <v t="i">2740</v>
    <v t="i">2770</v>
    <v t="i">2801</v>
    <v t="i">2831</v>
    <v t="i">2862</v>
    <v t="i">2893</v>
    <v t="i">2922</v>
    <v t="i">2953</v>
    <v t="i">2983</v>
    <v t="i">3014</v>
    <v t="i">3044</v>
    <v t="i">3075</v>
    <v t="i">3106</v>
    <v t="i">3136</v>
    <v t="i">3167</v>
    <v t="i">3197</v>
    <v t="i">3228</v>
    <v t="i">3259</v>
    <v t="i">3287</v>
    <v t="i">3318</v>
    <v t="i">3348</v>
    <v t="i">3379</v>
    <v t="i">3409</v>
    <v t="i">3440</v>
    <v t="i">3471</v>
    <v t="i">3501</v>
    <v t="i">3532</v>
    <v t="i">3562</v>
    <v t="i">3593</v>
    <v t="i">3624</v>
    <v t="i">3652</v>
  </a>
  <a r="1" c="121">
    <v>19.659600000000001</v>
    <v>19.666499999999999</v>
    <v>20.551300000000001</v>
    <v>20.284800000000001</v>
    <v>20.945499999999999</v>
    <v>20.9544</v>
    <v>21.773599999999998</v>
    <v>20.7042</v>
    <v>21.772200000000002</v>
    <v>21.777699999999999</v>
    <v>22.490200000000002</v>
    <v>21.255800000000001</v>
    <v>19.936</v>
    <v>20.493500000000001</v>
    <v>20.9298</v>
    <v>20.701699999999999</v>
    <v>21.0654</v>
    <v>21.293900000000001</v>
    <v>21.556899999999999</v>
    <v>22.294799999999999</v>
    <v>22.1722</v>
    <v>23.569700000000001</v>
    <v>23.089400000000001</v>
    <v>22.958100000000002</v>
    <v>22.3626</v>
    <v>22.5991</v>
    <v>23.272500000000001</v>
    <v>23.259699999999999</v>
    <v>21.7987</v>
    <v>22.123100000000001</v>
    <v>21.716200000000001</v>
    <v>22.992699999999999</v>
    <v>23.078099999999999</v>
    <v>22.525500000000001</v>
    <v>21.868500000000001</v>
    <v>21.918500000000002</v>
    <v>21.7851</v>
    <v>21.2395</v>
    <v>21.918099999999999</v>
    <v>21.844999999999999</v>
    <v>21.180700000000002</v>
    <v>22.0412</v>
    <v>21.496300000000002</v>
    <v>21.4392</v>
    <v>21.547499999999999</v>
    <v>21.2149</v>
    <v>20.893999999999998</v>
    <v>21.6189</v>
    <v>26.154199999999999</v>
    <v>26.4574</v>
    <v>24.601500000000001</v>
    <v>25.8188</v>
    <v>26.228999999999999</v>
    <v>26.1142</v>
    <v>25.895600000000002</v>
    <v>24.657900000000001</v>
    <v>24.053999999999998</v>
    <v>24.2685</v>
    <v>24.982600000000001</v>
    <v>25.171900000000001</v>
    <v>23.950900000000001</v>
    <v>24.307600000000001</v>
    <v>24.3841</v>
    <v>23.6282</v>
    <v>23.567900000000002</v>
    <v>23.688400000000001</v>
    <v>23.8916</v>
    <v>23.752099999999999</v>
    <v>24.300799999999999</v>
    <v>23.2896</v>
    <v>23.168099999999999</v>
    <v>22.955200000000001</v>
    <v>21.9618</v>
    <v>21.5152</v>
    <v>21.092300000000002</v>
    <v>21.057300000000001</v>
    <v>20.793600000000001</v>
    <v>20.249600000000001</v>
    <v>19.735199999999999</v>
    <v>19.5624</v>
    <v>20.0307</v>
    <v>20.841100000000001</v>
    <v>20.442299999999999</v>
    <v>19.3551</v>
    <v>19.520900000000001</v>
    <v>19.814</v>
    <v>18.898399999999999</v>
    <v>18.6708</v>
    <v>18.394100000000002</v>
    <v>18.459</v>
    <v>18.396799999999999</v>
    <v>19.075900000000001</v>
    <v>18.9162</v>
    <v>18.7104</v>
    <v>18.616499999999998</v>
    <v>18.4178</v>
    <v>17.841799999999999</v>
    <v>18.262799999999999</v>
    <v>18.4221</v>
    <v>19.636900000000001</v>
    <v>20.134499999999999</v>
    <v>21.773599999999998</v>
    <v>21.912800000000001</v>
    <v>21.7791</v>
    <v>21.5318</v>
    <v>21.554600000000001</v>
    <v>21.426500000000001</v>
    <v>21.300899999999999</v>
    <v>22.1294</v>
    <v>22.202100000000002</v>
    <v>22.025700000000001</v>
    <v>22.0899</v>
    <v>21.540400000000002</v>
    <v>21.780100000000001</v>
    <v>21.4801</v>
    <v>21.386299999999999</v>
    <v>21.206900000000001</v>
    <v>21.1463</v>
    <v>20.674800000000001</v>
    <v>20.330200000000001</v>
    <v>20.477</v>
  </a>
</arrayData>
</file>

<file path=xl/richData/rdrichvalue.xml><?xml version="1.0" encoding="utf-8"?>
<rvData xmlns="http://schemas.microsoft.com/office/spreadsheetml/2017/richdata" count="244">
  <rv s="0">
    <v>0</v>
    <v>1</v>
    <v>EUR/MXN</v>
    <v>3</v>
    <v>4</v>
    <v>Finance</v>
    <v>5</v>
    <v>es-ES</v>
    <v>av8y8m</v>
    <v>268435456</v>
    <v>1</v>
    <v>Con tecnología de Refinitiv</v>
    <v>20.477</v>
    <v>-6.4600000000000005E-2</v>
    <v>-3.1549999999999998E-3</v>
    <v>20.477</v>
    <v>EUR</v>
    <v>46091.739537037036</v>
    <v>20.5565</v>
    <v>23.5199</v>
    <v>20.340699999999998</v>
    <v>20.1572</v>
    <v>MXN</v>
    <v>Euro/Mexican Peso FX Cross Rate</v>
    <v>20.412400000000002</v>
    <v>EURMXN</v>
    <v>Par de divisa</v>
    <v>EUR/MXN</v>
  </rv>
  <rv s="1">
    <v>0</v>
  </rv>
  <rv s="2">
    <fb>42430</fb>
    <v>6</v>
  </rv>
  <rv s="2">
    <fb>19.659600000000001</fb>
    <v>7</v>
  </rv>
  <rv s="2">
    <fb>42461</fb>
    <v>6</v>
  </rv>
  <rv s="2">
    <fb>19.666499999999999</fb>
    <v>7</v>
  </rv>
  <rv s="2">
    <fb>42491</fb>
    <v>6</v>
  </rv>
  <rv s="2">
    <fb>20.551300000000001</fb>
    <v>7</v>
  </rv>
  <rv s="2">
    <fb>42522</fb>
    <v>6</v>
  </rv>
  <rv s="2">
    <fb>20.284800000000001</fb>
    <v>7</v>
  </rv>
  <rv s="2">
    <fb>42552</fb>
    <v>6</v>
  </rv>
  <rv s="2">
    <fb>20.945499999999999</fb>
    <v>7</v>
  </rv>
  <rv s="2">
    <fb>42583</fb>
    <v>6</v>
  </rv>
  <rv s="2">
    <fb>20.9544</fb>
    <v>7</v>
  </rv>
  <rv s="2">
    <fb>42614</fb>
    <v>6</v>
  </rv>
  <rv s="2">
    <fb>21.773599999999998</fb>
    <v>7</v>
  </rv>
  <rv s="2">
    <fb>42644</fb>
    <v>6</v>
  </rv>
  <rv s="2">
    <fb>20.7042</fb>
    <v>7</v>
  </rv>
  <rv s="2">
    <fb>42675</fb>
    <v>6</v>
  </rv>
  <rv s="2">
    <fb>21.772200000000002</fb>
    <v>7</v>
  </rv>
  <rv s="2">
    <fb>42705</fb>
    <v>6</v>
  </rv>
  <rv s="2">
    <fb>21.777699999999999</fb>
    <v>7</v>
  </rv>
  <rv s="2">
    <fb>42736</fb>
    <v>6</v>
  </rv>
  <rv s="2">
    <fb>22.490200000000002</fb>
    <v>7</v>
  </rv>
  <rv s="2">
    <fb>42767</fb>
    <v>6</v>
  </rv>
  <rv s="2">
    <fb>21.255800000000001</fb>
    <v>7</v>
  </rv>
  <rv s="2">
    <fb>42795</fb>
    <v>6</v>
  </rv>
  <rv s="2">
    <fb>19.936</fb>
    <v>7</v>
  </rv>
  <rv s="2">
    <fb>42826</fb>
    <v>6</v>
  </rv>
  <rv s="2">
    <fb>20.493500000000001</fb>
    <v>7</v>
  </rv>
  <rv s="2">
    <fb>42856</fb>
    <v>6</v>
  </rv>
  <rv s="2">
    <fb>20.9298</fb>
    <v>7</v>
  </rv>
  <rv s="2">
    <fb>42887</fb>
    <v>6</v>
  </rv>
  <rv s="2">
    <fb>20.701699999999999</fb>
    <v>7</v>
  </rv>
  <rv s="2">
    <fb>42917</fb>
    <v>6</v>
  </rv>
  <rv s="2">
    <fb>21.0654</fb>
    <v>7</v>
  </rv>
  <rv s="2">
    <fb>42948</fb>
    <v>6</v>
  </rv>
  <rv s="2">
    <fb>21.293900000000001</fb>
    <v>7</v>
  </rv>
  <rv s="2">
    <fb>42979</fb>
    <v>6</v>
  </rv>
  <rv s="2">
    <fb>21.556899999999999</fb>
    <v>7</v>
  </rv>
  <rv s="2">
    <fb>43009</fb>
    <v>6</v>
  </rv>
  <rv s="2">
    <fb>22.294799999999999</fb>
    <v>7</v>
  </rv>
  <rv s="2">
    <fb>43040</fb>
    <v>6</v>
  </rv>
  <rv s="2">
    <fb>22.1722</fb>
    <v>7</v>
  </rv>
  <rv s="2">
    <fb>43070</fb>
    <v>6</v>
  </rv>
  <rv s="2">
    <fb>23.569700000000001</fb>
    <v>7</v>
  </rv>
  <rv s="2">
    <fb>43101</fb>
    <v>6</v>
  </rv>
  <rv s="2">
    <fb>23.089400000000001</fb>
    <v>7</v>
  </rv>
  <rv s="2">
    <fb>43132</fb>
    <v>6</v>
  </rv>
  <rv s="2">
    <fb>22.958100000000002</fb>
    <v>7</v>
  </rv>
  <rv s="2">
    <fb>43160</fb>
    <v>6</v>
  </rv>
  <rv s="2">
    <fb>22.3626</fb>
    <v>7</v>
  </rv>
  <rv s="2">
    <fb>43191</fb>
    <v>6</v>
  </rv>
  <rv s="2">
    <fb>22.5991</fb>
    <v>7</v>
  </rv>
  <rv s="2">
    <fb>43221</fb>
    <v>6</v>
  </rv>
  <rv s="2">
    <fb>23.272500000000001</fb>
    <v>7</v>
  </rv>
  <rv s="2">
    <fb>43252</fb>
    <v>6</v>
  </rv>
  <rv s="2">
    <fb>23.259699999999999</fb>
    <v>7</v>
  </rv>
  <rv s="2">
    <fb>43282</fb>
    <v>6</v>
  </rv>
  <rv s="2">
    <fb>21.7987</fb>
    <v>7</v>
  </rv>
  <rv s="2">
    <fb>43313</fb>
    <v>6</v>
  </rv>
  <rv s="2">
    <fb>22.123100000000001</fb>
    <v>7</v>
  </rv>
  <rv s="2">
    <fb>43344</fb>
    <v>6</v>
  </rv>
  <rv s="2">
    <fb>21.716200000000001</fb>
    <v>7</v>
  </rv>
  <rv s="2">
    <fb>43374</fb>
    <v>6</v>
  </rv>
  <rv s="2">
    <fb>22.992699999999999</fb>
    <v>7</v>
  </rv>
  <rv s="2">
    <fb>43405</fb>
    <v>6</v>
  </rv>
  <rv s="2">
    <fb>23.078099999999999</fb>
    <v>7</v>
  </rv>
  <rv s="2">
    <fb>43435</fb>
    <v>6</v>
  </rv>
  <rv s="2">
    <fb>22.525500000000001</fb>
    <v>7</v>
  </rv>
  <rv s="2">
    <fb>43466</fb>
    <v>6</v>
  </rv>
  <rv s="2">
    <fb>21.868500000000001</fb>
    <v>7</v>
  </rv>
  <rv s="2">
    <fb>43497</fb>
    <v>6</v>
  </rv>
  <rv s="2">
    <fb>21.918500000000002</fb>
    <v>7</v>
  </rv>
  <rv s="2">
    <fb>43525</fb>
    <v>6</v>
  </rv>
  <rv s="2">
    <fb>21.7851</fb>
    <v>7</v>
  </rv>
  <rv s="2">
    <fb>43556</fb>
    <v>6</v>
  </rv>
  <rv s="2">
    <fb>21.2395</fb>
    <v>7</v>
  </rv>
  <rv s="2">
    <fb>43586</fb>
    <v>6</v>
  </rv>
  <rv s="2">
    <fb>21.918099999999999</fb>
    <v>7</v>
  </rv>
  <rv s="2">
    <fb>43617</fb>
    <v>6</v>
  </rv>
  <rv s="2">
    <fb>21.844999999999999</fb>
    <v>7</v>
  </rv>
  <rv s="2">
    <fb>43647</fb>
    <v>6</v>
  </rv>
  <rv s="2">
    <fb>21.180700000000002</fb>
    <v>7</v>
  </rv>
  <rv s="2">
    <fb>43678</fb>
    <v>6</v>
  </rv>
  <rv s="2">
    <fb>22.0412</fb>
    <v>7</v>
  </rv>
  <rv s="2">
    <fb>43709</fb>
    <v>6</v>
  </rv>
  <rv s="2">
    <fb>21.496300000000002</fb>
    <v>7</v>
  </rv>
  <rv s="2">
    <fb>43739</fb>
    <v>6</v>
  </rv>
  <rv s="2">
    <fb>21.4392</fb>
    <v>7</v>
  </rv>
  <rv s="2">
    <fb>43770</fb>
    <v>6</v>
  </rv>
  <rv s="2">
    <fb>21.547499999999999</fb>
    <v>7</v>
  </rv>
  <rv s="2">
    <fb>43800</fb>
    <v>6</v>
  </rv>
  <rv s="2">
    <fb>21.2149</fb>
    <v>7</v>
  </rv>
  <rv s="2">
    <fb>43831</fb>
    <v>6</v>
  </rv>
  <rv s="2">
    <fb>20.893999999999998</fb>
    <v>7</v>
  </rv>
  <rv s="2">
    <fb>43862</fb>
    <v>6</v>
  </rv>
  <rv s="2">
    <fb>21.6189</fb>
    <v>7</v>
  </rv>
  <rv s="2">
    <fb>43891</fb>
    <v>6</v>
  </rv>
  <rv s="2">
    <fb>26.154199999999999</fb>
    <v>7</v>
  </rv>
  <rv s="2">
    <fb>43922</fb>
    <v>6</v>
  </rv>
  <rv s="2">
    <fb>26.4574</fb>
    <v>7</v>
  </rv>
  <rv s="2">
    <fb>43952</fb>
    <v>6</v>
  </rv>
  <rv s="2">
    <fb>24.601500000000001</fb>
    <v>7</v>
  </rv>
  <rv s="2">
    <fb>43983</fb>
    <v>6</v>
  </rv>
  <rv s="2">
    <fb>25.8188</fb>
    <v>7</v>
  </rv>
  <rv s="2">
    <fb>44013</fb>
    <v>6</v>
  </rv>
  <rv s="2">
    <fb>26.228999999999999</fb>
    <v>7</v>
  </rv>
  <rv s="2">
    <fb>44044</fb>
    <v>6</v>
  </rv>
  <rv s="2">
    <fb>26.1142</fb>
    <v>7</v>
  </rv>
  <rv s="2">
    <fb>44075</fb>
    <v>6</v>
  </rv>
  <rv s="2">
    <fb>25.895600000000002</fb>
    <v>7</v>
  </rv>
  <rv s="2">
    <fb>44105</fb>
    <v>6</v>
  </rv>
  <rv s="2">
    <fb>24.657900000000001</fb>
    <v>7</v>
  </rv>
  <rv s="2">
    <fb>44136</fb>
    <v>6</v>
  </rv>
  <rv s="2">
    <fb>24.053999999999998</fb>
    <v>7</v>
  </rv>
  <rv s="2">
    <fb>44166</fb>
    <v>6</v>
  </rv>
  <rv s="2">
    <fb>24.2685</fb>
    <v>7</v>
  </rv>
  <rv s="2">
    <fb>44197</fb>
    <v>6</v>
  </rv>
  <rv s="2">
    <fb>24.982600000000001</fb>
    <v>7</v>
  </rv>
  <rv s="2">
    <fb>44228</fb>
    <v>6</v>
  </rv>
  <rv s="2">
    <fb>25.171900000000001</fb>
    <v>7</v>
  </rv>
  <rv s="2">
    <fb>44256</fb>
    <v>6</v>
  </rv>
  <rv s="2">
    <fb>23.950900000000001</fb>
    <v>7</v>
  </rv>
  <rv s="2">
    <fb>44287</fb>
    <v>6</v>
  </rv>
  <rv s="2">
    <fb>24.307600000000001</fb>
    <v>7</v>
  </rv>
  <rv s="2">
    <fb>44317</fb>
    <v>6</v>
  </rv>
  <rv s="2">
    <fb>24.3841</fb>
    <v>7</v>
  </rv>
  <rv s="2">
    <fb>44348</fb>
    <v>6</v>
  </rv>
  <rv s="2">
    <fb>23.6282</fb>
    <v>7</v>
  </rv>
  <rv s="2">
    <fb>44378</fb>
    <v>6</v>
  </rv>
  <rv s="2">
    <fb>23.567900000000002</fb>
    <v>7</v>
  </rv>
  <rv s="2">
    <fb>44409</fb>
    <v>6</v>
  </rv>
  <rv s="2">
    <fb>23.688400000000001</fb>
    <v>7</v>
  </rv>
  <rv s="2">
    <fb>44440</fb>
    <v>6</v>
  </rv>
  <rv s="2">
    <fb>23.8916</fb>
    <v>7</v>
  </rv>
  <rv s="2">
    <fb>44470</fb>
    <v>6</v>
  </rv>
  <rv s="2">
    <fb>23.752099999999999</fb>
    <v>7</v>
  </rv>
  <rv s="2">
    <fb>44501</fb>
    <v>6</v>
  </rv>
  <rv s="2">
    <fb>24.300799999999999</fb>
    <v>7</v>
  </rv>
  <rv s="2">
    <fb>44531</fb>
    <v>6</v>
  </rv>
  <rv s="2">
    <fb>23.2896</fb>
    <v>7</v>
  </rv>
  <rv s="2">
    <fb>44562</fb>
    <v>6</v>
  </rv>
  <rv s="2">
    <fb>23.168099999999999</fb>
    <v>7</v>
  </rv>
  <rv s="2">
    <fb>44593</fb>
    <v>6</v>
  </rv>
  <rv s="2">
    <fb>22.955200000000001</fb>
    <v>7</v>
  </rv>
  <rv s="2">
    <fb>44621</fb>
    <v>6</v>
  </rv>
  <rv s="2">
    <fb>21.9618</fb>
    <v>7</v>
  </rv>
  <rv s="2">
    <fb>44652</fb>
    <v>6</v>
  </rv>
  <rv s="2">
    <fb>21.5152</fb>
    <v>7</v>
  </rv>
  <rv s="2">
    <fb>44682</fb>
    <v>6</v>
  </rv>
  <rv s="2">
    <fb>21.092300000000002</fb>
    <v>7</v>
  </rv>
  <rv s="2">
    <fb>44713</fb>
    <v>6</v>
  </rv>
  <rv s="2">
    <fb>21.057300000000001</fb>
    <v>7</v>
  </rv>
  <rv s="2">
    <fb>44743</fb>
    <v>6</v>
  </rv>
  <rv s="2">
    <fb>20.793600000000001</fb>
    <v>7</v>
  </rv>
  <rv s="2">
    <fb>44774</fb>
    <v>6</v>
  </rv>
  <rv s="2">
    <fb>20.249600000000001</fb>
    <v>7</v>
  </rv>
  <rv s="2">
    <fb>44805</fb>
    <v>6</v>
  </rv>
  <rv s="2">
    <fb>19.735199999999999</fb>
    <v>7</v>
  </rv>
  <rv s="2">
    <fb>44835</fb>
    <v>6</v>
  </rv>
  <rv s="2">
    <fb>19.5624</fb>
    <v>7</v>
  </rv>
  <rv s="2">
    <fb>44866</fb>
    <v>6</v>
  </rv>
  <rv s="2">
    <fb>20.0307</fb>
    <v>7</v>
  </rv>
  <rv s="2">
    <fb>44896</fb>
    <v>6</v>
  </rv>
  <rv s="2">
    <fb>20.841100000000001</fb>
    <v>7</v>
  </rv>
  <rv s="2">
    <fb>44927</fb>
    <v>6</v>
  </rv>
  <rv s="2">
    <fb>20.442299999999999</fb>
    <v>7</v>
  </rv>
  <rv s="2">
    <fb>44958</fb>
    <v>6</v>
  </rv>
  <rv s="2">
    <fb>19.3551</fb>
    <v>7</v>
  </rv>
  <rv s="2">
    <fb>44986</fb>
    <v>6</v>
  </rv>
  <rv s="2">
    <fb>19.520900000000001</fb>
    <v>7</v>
  </rv>
  <rv s="2">
    <fb>45017</fb>
    <v>6</v>
  </rv>
  <rv s="2">
    <fb>19.814</fb>
    <v>7</v>
  </rv>
  <rv s="2">
    <fb>45047</fb>
    <v>6</v>
  </rv>
  <rv s="2">
    <fb>18.898399999999999</fb>
    <v>7</v>
  </rv>
  <rv s="2">
    <fb>45078</fb>
    <v>6</v>
  </rv>
  <rv s="2">
    <fb>18.6708</fb>
    <v>7</v>
  </rv>
  <rv s="2">
    <fb>45108</fb>
    <v>6</v>
  </rv>
  <rv s="2">
    <fb>18.394100000000002</fb>
    <v>7</v>
  </rv>
  <rv s="2">
    <fb>45139</fb>
    <v>6</v>
  </rv>
  <rv s="2">
    <fb>18.459</fb>
    <v>7</v>
  </rv>
  <rv s="2">
    <fb>45170</fb>
    <v>6</v>
  </rv>
  <rv s="2">
    <fb>18.396799999999999</fb>
    <v>7</v>
  </rv>
  <rv s="2">
    <fb>45200</fb>
    <v>6</v>
  </rv>
  <rv s="2">
    <fb>19.075900000000001</fb>
    <v>7</v>
  </rv>
  <rv s="2">
    <fb>45231</fb>
    <v>6</v>
  </rv>
  <rv s="2">
    <fb>18.9162</fb>
    <v>7</v>
  </rv>
  <rv s="2">
    <fb>45261</fb>
    <v>6</v>
  </rv>
  <rv s="2">
    <fb>18.7104</fb>
    <v>7</v>
  </rv>
  <rv s="2">
    <fb>45292</fb>
    <v>6</v>
  </rv>
  <rv s="2">
    <fb>18.616499999999998</fb>
    <v>7</v>
  </rv>
  <rv s="2">
    <fb>45323</fb>
    <v>6</v>
  </rv>
  <rv s="2">
    <fb>18.4178</fb>
    <v>7</v>
  </rv>
  <rv s="2">
    <fb>45352</fb>
    <v>6</v>
  </rv>
  <rv s="2">
    <fb>17.841799999999999</fb>
    <v>7</v>
  </rv>
  <rv s="2">
    <fb>45383</fb>
    <v>6</v>
  </rv>
  <rv s="2">
    <fb>18.262799999999999</fb>
    <v>7</v>
  </rv>
  <rv s="2">
    <fb>45413</fb>
    <v>6</v>
  </rv>
  <rv s="2">
    <fb>18.4221</fb>
    <v>7</v>
  </rv>
  <rv s="2">
    <fb>45444</fb>
    <v>6</v>
  </rv>
  <rv s="2">
    <fb>19.636900000000001</fb>
    <v>7</v>
  </rv>
  <rv s="2">
    <fb>45474</fb>
    <v>6</v>
  </rv>
  <rv s="2">
    <fb>20.134499999999999</fb>
    <v>7</v>
  </rv>
  <rv s="2">
    <fb>45505</fb>
    <v>6</v>
  </rv>
  <rv s="2">
    <fb>45536</fb>
    <v>6</v>
  </rv>
  <rv s="2">
    <fb>21.912800000000001</fb>
    <v>7</v>
  </rv>
  <rv s="2">
    <fb>45566</fb>
    <v>6</v>
  </rv>
  <rv s="2">
    <fb>21.7791</fb>
    <v>7</v>
  </rv>
  <rv s="2">
    <fb>45597</fb>
    <v>6</v>
  </rv>
  <rv s="2">
    <fb>21.5318</fb>
    <v>7</v>
  </rv>
  <rv s="2">
    <fb>45627</fb>
    <v>6</v>
  </rv>
  <rv s="2">
    <fb>21.554600000000001</fb>
    <v>7</v>
  </rv>
  <rv s="2">
    <fb>45658</fb>
    <v>6</v>
  </rv>
  <rv s="2">
    <fb>21.426500000000001</fb>
    <v>7</v>
  </rv>
  <rv s="2">
    <fb>45689</fb>
    <v>6</v>
  </rv>
  <rv s="2">
    <fb>21.300899999999999</fb>
    <v>7</v>
  </rv>
  <rv s="2">
    <fb>45717</fb>
    <v>6</v>
  </rv>
  <rv s="2">
    <fb>22.1294</fb>
    <v>7</v>
  </rv>
  <rv s="2">
    <fb>45748</fb>
    <v>6</v>
  </rv>
  <rv s="2">
    <fb>22.202100000000002</fb>
    <v>7</v>
  </rv>
  <rv s="2">
    <fb>45778</fb>
    <v>6</v>
  </rv>
  <rv s="2">
    <fb>22.025700000000001</fb>
    <v>7</v>
  </rv>
  <rv s="2">
    <fb>45809</fb>
    <v>6</v>
  </rv>
  <rv s="2">
    <fb>22.0899</fb>
    <v>7</v>
  </rv>
  <rv s="2">
    <fb>45839</fb>
    <v>6</v>
  </rv>
  <rv s="2">
    <fb>21.540400000000002</fb>
    <v>7</v>
  </rv>
  <rv s="2">
    <fb>45870</fb>
    <v>6</v>
  </rv>
  <rv s="2">
    <fb>21.780100000000001</fb>
    <v>7</v>
  </rv>
  <rv s="2">
    <fb>45901</fb>
    <v>6</v>
  </rv>
  <rv s="2">
    <fb>21.4801</fb>
    <v>7</v>
  </rv>
  <rv s="2">
    <fb>45931</fb>
    <v>6</v>
  </rv>
  <rv s="2">
    <fb>21.386299999999999</fb>
    <v>7</v>
  </rv>
  <rv s="2">
    <fb>45962</fb>
    <v>6</v>
  </rv>
  <rv s="2">
    <fb>21.206900000000001</fb>
    <v>7</v>
  </rv>
  <rv s="2">
    <fb>45992</fb>
    <v>6</v>
  </rv>
  <rv s="2">
    <fb>21.1463</fb>
    <v>7</v>
  </rv>
  <rv s="2">
    <fb>46023</fb>
    <v>6</v>
  </rv>
  <rv s="2">
    <fb>20.674800000000001</fb>
    <v>7</v>
  </rv>
  <rv s="2">
    <fb>46054</fb>
    <v>6</v>
  </rv>
  <rv s="2">
    <fb>20.330200000000001</fb>
    <v>7</v>
  </rv>
  <rv s="2">
    <fb>46082</fb>
    <v>6</v>
  </rv>
  <rv s="2">
    <fb>20.477</fb>
    <v>7</v>
  </rv>
  <rv s="3">
    <v>8</v>
    <v>av8y8m</v>
    <v>Monthly</v>
    <v>42430</v>
    <v>46112</v>
    <v>0</v>
    <v>1</v>
    <v>639086112000000000,639087614975630475,0</v>
    <v>0</v>
    <v>av8y8m</v>
    <v>EURMXN</v>
    <v>1</v>
  </rv>
</rvData>
</file>

<file path=xl/richData/rdrichvaluestructure.xml><?xml version="1.0" encoding="utf-8"?>
<rvStructures xmlns="http://schemas.microsoft.com/office/spreadsheetml/2017/richdata" count="4">
  <s t="_linkedentitycore">
    <k n="_CanonicalPropertyNames" t="spb"/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Apertura"/>
    <k n="Cambio"/>
    <k n="Cambio (%)"/>
    <k n="Cierre anterior"/>
    <k n="De la moneda" t="s"/>
    <k n="Hora de la última operación"/>
    <k n="Máximo"/>
    <k n="Máximo en 52 semanas"/>
    <k n="Mínimo"/>
    <k n="Mínimo en 52 semanas"/>
    <k n="Moneda" t="s"/>
    <k n="Nombre" t="s"/>
    <k n="Precio"/>
    <k n="Símbolo bursátil" t="s"/>
    <k n="Tipo de instrumento" t="s"/>
    <k n="UniqueName" t="s"/>
  </s>
  <s t="_linkedentity">
    <k n="%cvi" t="r"/>
  </s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Precio</v>
      <v t="s">_SubLabel</v>
      <v t="s">Hora de la última operación</v>
      <v t="s">Símbolo bursátil</v>
      <v t="s">Cambio</v>
      <v t="s">Cambio (%)</v>
      <v t="s">Moneda</v>
      <v t="s">De la moneda</v>
      <v t="s">Cierre anterior</v>
      <v t="s">Apertura</v>
      <v t="s">Máximo</v>
      <v t="s">Mínimo</v>
      <v t="s">Máximo en 52 semanas</v>
      <v t="s">Mínimo en 52 semanas</v>
      <v t="s">Tipo de instrumento</v>
      <v t="s">_Flags</v>
      <v t="s">UniqueName</v>
      <v t="s">_DisplayString</v>
      <v t="s">%ProviderInfo</v>
    </a>
  </spbArrays>
  <spbData count="9">
    <spb s="0">
      <v>Change</v>
      <v>Currency</v>
      <v>High</v>
      <v>Low</v>
      <v>Name</v>
      <v>Price</v>
      <v>Open</v>
      <v>Change (%)</v>
      <v>UniqueName</v>
      <v>From currency</v>
      <v>%ProviderInfo</v>
      <v>Previous close</v>
      <v>Ticker symbol</v>
      <v>Instrument type</v>
      <v>52 week high</v>
      <v>52 week low</v>
      <v>Last trade time</v>
    </spb>
    <spb s="1">
      <v>0</v>
      <v>Name</v>
    </spb>
    <spb s="2">
      <v>0</v>
      <v>0</v>
      <v>0</v>
    </spb>
    <spb s="3">
      <v>2</v>
      <v>2</v>
    </spb>
    <spb s="4">
      <v>1</v>
      <v>1</v>
      <v>1</v>
      <v>2</v>
      <v>1</v>
      <v>1</v>
      <v>3</v>
      <v>1</v>
      <v>4</v>
      <v>1</v>
      <v>1</v>
      <v>5</v>
    </spb>
    <spb s="5">
      <v>GMT</v>
    </spb>
    <spb s="6">
      <v>6</v>
    </spb>
    <spb s="6">
      <v>1</v>
    </spb>
    <spb s="7">
      <v>6</v>
      <v>1</v>
    </spb>
  </spbData>
</supportingPropertyBags>
</file>

<file path=xl/richData/rdsupportingpropertybagstructure.xml><?xml version="1.0" encoding="utf-8"?>
<spbStructures xmlns="http://schemas.microsoft.com/office/spreadsheetml/2017/richdata2" count="8">
  <s>
    <k n="Cambio" t="s"/>
    <k n="Moneda" t="s"/>
    <k n="Máximo" t="s"/>
    <k n="Mínimo" t="s"/>
    <k n="Nombre" t="s"/>
    <k n="Precio" t="s"/>
    <k n="Apertura" t="s"/>
    <k n="Cambio (%)" t="s"/>
    <k n="UniqueName" t="s"/>
    <k n="De la moneda" t="s"/>
    <k n="%ProviderInfo" t="s"/>
    <k n="Cierre anterior" t="s"/>
    <k n="Símbolo bursátil" t="s"/>
    <k n="Tipo de instrumento" t="s"/>
    <k n="Máximo en 52 semanas" t="s"/>
    <k n="Mínimo en 52 semanas" t="s"/>
    <k n="Hora de la última operación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Cambio" t="i"/>
    <k n="Máximo" t="i"/>
    <k n="Mínimo" t="i"/>
    <k n="Nombre" t="i"/>
    <k n="Precio" t="i"/>
    <k n="Apertura" t="i"/>
    <k n="Cambio (%)" t="i"/>
    <k n="Cierre anterior" t="i"/>
    <k n="`%EntityServiceId" t="i"/>
    <k n="Máximo en 52 semanas" t="i"/>
    <k n="Mínimo en 52 semanas" t="i"/>
    <k n="Hora de la última operación" t="i"/>
  </s>
  <s>
    <k n="Hora de la última operación" t="s"/>
  </s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5">
    <x:dxf>
      <x:numFmt numFmtId="2" formatCode="0.00"/>
    </x:dxf>
    <x:dxf>
      <x:numFmt numFmtId="0" formatCode="General"/>
    </x:dxf>
    <x:dxf>
      <x:numFmt numFmtId="27" formatCode="dd/mm/yy\ h:mm"/>
    </x:dxf>
    <x:dxf>
      <x:numFmt numFmtId="14" formatCode="0.00%"/>
    </x:dxf>
    <x:dxf>
      <x:numFmt numFmtId="19" formatCode="dd/mm/yy"/>
    </x:dxf>
  </dxfs>
  <richProperties>
    <rPr n="NumberFormat" t="s"/>
    <rPr n="IsTitleField" t="b"/>
  </richProperties>
  <richStyles>
    <rSty dxfid="1">
      <rpv i="0">_-[$$-es-MX]* #,##0.00_-;-[$$-es-MX]* #,##0.00_-;_-[$$-es-MX]* "-"??_-;_-@_-</rpv>
    </rSty>
    <rSty>
      <rpv i="1">1</rpv>
    </rSty>
    <rSty dxfid="3"/>
    <rSty dxfid="0">
      <rpv i="0">0.00</rpv>
    </rSty>
    <rSty dxfid="2"/>
    <rSty dxfid="4"/>
  </richStyles>
</richStyleShee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-us.finanzas.yahoo.com/quote/EURMXN%3DX/history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finance/quote/USD-EUR?hl=es" TargetMode="External"/><Relationship Id="rId1" Type="http://schemas.openxmlformats.org/officeDocument/2006/relationships/hyperlink" Target="https://www.google.com/finance/quote/USD-MXN?hl=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investing.com/rates-bonds/spain-10-year-bond-yield?utm_source=chatgpt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4E26-A556-4759-B9AE-6CBCBB9666FC}">
  <dimension ref="A2:D15"/>
  <sheetViews>
    <sheetView zoomScale="160" zoomScaleNormal="160" workbookViewId="0">
      <selection activeCell="B15" sqref="B15"/>
    </sheetView>
  </sheetViews>
  <sheetFormatPr baseColWidth="10" defaultColWidth="11.5" defaultRowHeight="15" x14ac:dyDescent="0.2"/>
  <cols>
    <col min="1" max="1" width="37.6640625" style="1" bestFit="1" customWidth="1"/>
    <col min="2" max="2" width="23.1640625" style="1" bestFit="1" customWidth="1"/>
    <col min="3" max="16384" width="11.5" style="1"/>
  </cols>
  <sheetData>
    <row r="2" spans="1:4" x14ac:dyDescent="0.2">
      <c r="A2" s="1" t="s">
        <v>0</v>
      </c>
      <c r="B2" s="3">
        <f ca="1">+('EUR A MXN'!G3+'EUR A MXN'!G4)/2</f>
        <v>21.626460743801662</v>
      </c>
    </row>
    <row r="3" spans="1:4" x14ac:dyDescent="0.2">
      <c r="A3" s="1" t="s">
        <v>61</v>
      </c>
      <c r="B3" s="5">
        <f>+('Bono español a 10 años'!J2+'Bono español a 10 años'!J3)/2</f>
        <v>3.1682083333333333E-2</v>
      </c>
    </row>
    <row r="4" spans="1:4" x14ac:dyDescent="0.2">
      <c r="A4" s="1" t="s">
        <v>103</v>
      </c>
      <c r="B4" s="5">
        <f>+('Inflación INEGI'!E5+'Inflación INEGI'!E6)/2</f>
        <v>4.7086363636363635E-2</v>
      </c>
    </row>
    <row r="5" spans="1:4" x14ac:dyDescent="0.2">
      <c r="A5" s="1" t="s">
        <v>231</v>
      </c>
      <c r="B5" s="39">
        <f>185791000000*'Datos Proporcionados CL Circula'!H2</f>
        <v>3323243617000</v>
      </c>
      <c r="C5" s="1" t="s">
        <v>87</v>
      </c>
    </row>
    <row r="6" spans="1:4" x14ac:dyDescent="0.2">
      <c r="A6" s="1" t="s">
        <v>239</v>
      </c>
      <c r="B6" s="8">
        <v>2112000</v>
      </c>
    </row>
    <row r="7" spans="1:4" x14ac:dyDescent="0.2">
      <c r="A7" s="1" t="s">
        <v>240</v>
      </c>
      <c r="B7" s="47">
        <f>(9000/'Datos Proporcionados CL Circula'!B6)*12</f>
        <v>3085.7142857142862</v>
      </c>
      <c r="C7" s="1" t="s">
        <v>273</v>
      </c>
    </row>
    <row r="8" spans="1:4" x14ac:dyDescent="0.2">
      <c r="A8" s="1" t="s">
        <v>241</v>
      </c>
      <c r="B8" s="5">
        <f>+B7/B6</f>
        <v>1.4610389610389613E-3</v>
      </c>
    </row>
    <row r="9" spans="1:4" x14ac:dyDescent="0.2">
      <c r="A9" s="1" t="s">
        <v>272</v>
      </c>
      <c r="B9" s="52">
        <v>1000</v>
      </c>
      <c r="C9" s="1" t="s">
        <v>86</v>
      </c>
    </row>
    <row r="10" spans="1:4" x14ac:dyDescent="0.2">
      <c r="A10" s="1" t="s">
        <v>274</v>
      </c>
      <c r="B10" s="39">
        <f>+B7*'Datos Proporcionados CL Circula'!B5</f>
        <v>108000.00000000001</v>
      </c>
      <c r="C10" s="1" t="s">
        <v>86</v>
      </c>
    </row>
    <row r="11" spans="1:4" x14ac:dyDescent="0.2">
      <c r="A11" s="1" t="s">
        <v>276</v>
      </c>
      <c r="B11" s="3">
        <f>+(B10/10)/B7</f>
        <v>3.5</v>
      </c>
      <c r="C11" s="1" t="s">
        <v>86</v>
      </c>
      <c r="D11" s="1" t="s">
        <v>275</v>
      </c>
    </row>
    <row r="12" spans="1:4" x14ac:dyDescent="0.2">
      <c r="A12" s="1" t="s">
        <v>279</v>
      </c>
      <c r="B12" s="52">
        <f>+'Sin Financiamiento'!B29</f>
        <v>0</v>
      </c>
    </row>
    <row r="13" spans="1:4" x14ac:dyDescent="0.2">
      <c r="A13" s="59" t="s">
        <v>278</v>
      </c>
      <c r="B13" s="47">
        <f>+B7+'Con finacimiento'!P3</f>
        <v>4199.7142857142862</v>
      </c>
    </row>
    <row r="14" spans="1:4" x14ac:dyDescent="0.2">
      <c r="A14" s="59"/>
      <c r="B14" s="5">
        <f>+B13/B6</f>
        <v>1.9885010822510824E-3</v>
      </c>
    </row>
    <row r="15" spans="1:4" x14ac:dyDescent="0.2">
      <c r="A15" s="1" t="s">
        <v>283</v>
      </c>
      <c r="B15" s="39">
        <f>+B13*'Datos Proporcionados CL Circula'!B6</f>
        <v>146990.00000000003</v>
      </c>
    </row>
  </sheetData>
  <mergeCells count="1">
    <mergeCell ref="A13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61F1-8727-44BA-B7B2-105783A7791C}">
  <dimension ref="A1:H126"/>
  <sheetViews>
    <sheetView workbookViewId="0">
      <selection activeCell="I14" sqref="I14"/>
    </sheetView>
  </sheetViews>
  <sheetFormatPr baseColWidth="10" defaultColWidth="11.5" defaultRowHeight="15" x14ac:dyDescent="0.2"/>
  <cols>
    <col min="1" max="1" width="11.5" style="1"/>
    <col min="2" max="2" width="14.5" style="1" bestFit="1" customWidth="1"/>
    <col min="3" max="16384" width="11.5" style="1"/>
  </cols>
  <sheetData>
    <row r="1" spans="1:8" x14ac:dyDescent="0.2">
      <c r="A1" s="2">
        <v>42437</v>
      </c>
    </row>
    <row r="2" spans="1:8" x14ac:dyDescent="0.2">
      <c r="A2" s="2">
        <v>46089</v>
      </c>
      <c r="B2" s="1" t="e" vm="1">
        <v>#VALUE!</v>
      </c>
    </row>
    <row r="3" spans="1:8" x14ac:dyDescent="0.2">
      <c r="B3" s="1" t="str" cm="1">
        <f t="array" aca="1" ref="B3:C124" ca="1">+_xlfn.STOCKHISTORY(B2,A1,A2,2,1,0,1)</f>
        <v>Fecha</v>
      </c>
      <c r="C3" s="1" t="str">
        <f ca="1"/>
        <v>Cierre</v>
      </c>
      <c r="D3" s="1" t="s">
        <v>59</v>
      </c>
      <c r="F3" s="1" t="s">
        <v>1</v>
      </c>
      <c r="G3" s="3">
        <f ca="1">+AVERAGE(C4:C124)</f>
        <v>21.698321487603323</v>
      </c>
    </row>
    <row r="4" spans="1:8" x14ac:dyDescent="0.2">
      <c r="B4" s="1" vm="2">
        <f ca="1"/>
        <v>42430</v>
      </c>
      <c r="C4" s="1" vm="3">
        <f ca="1"/>
        <v>19.659600000000001</v>
      </c>
      <c r="F4" s="1" t="s">
        <v>2</v>
      </c>
      <c r="G4" s="3">
        <f ca="1">+MEDIAN(C4:C124)</f>
        <v>21.554600000000001</v>
      </c>
    </row>
    <row r="5" spans="1:8" x14ac:dyDescent="0.2">
      <c r="B5" s="1" vm="4">
        <f ca="1"/>
        <v>42461</v>
      </c>
      <c r="C5" s="1" vm="5">
        <f ca="1"/>
        <v>19.666499999999999</v>
      </c>
      <c r="D5" s="5">
        <f ca="1">+(C5-C4)/C4</f>
        <v>3.5097357016409945E-4</v>
      </c>
    </row>
    <row r="6" spans="1:8" x14ac:dyDescent="0.2">
      <c r="B6" s="1" vm="6">
        <f ca="1"/>
        <v>42491</v>
      </c>
      <c r="C6" s="1" vm="7">
        <f ca="1"/>
        <v>20.551300000000001</v>
      </c>
      <c r="D6" s="5">
        <f t="shared" ref="D6:D69" ca="1" si="0">+(C6-C5)/C5</f>
        <v>4.4990211781455881E-2</v>
      </c>
      <c r="G6" s="1" t="s">
        <v>3</v>
      </c>
      <c r="H6" s="1" t="s">
        <v>4</v>
      </c>
    </row>
    <row r="7" spans="1:8" x14ac:dyDescent="0.2">
      <c r="B7" s="1" vm="8">
        <f ca="1"/>
        <v>42522</v>
      </c>
      <c r="C7" s="1" vm="9">
        <f ca="1"/>
        <v>20.284800000000001</v>
      </c>
      <c r="D7" s="5">
        <f t="shared" ca="1" si="0"/>
        <v>-1.2967549498085309E-2</v>
      </c>
      <c r="F7" s="1" t="s">
        <v>1</v>
      </c>
      <c r="G7" s="6">
        <f ca="1">+AVERAGE(D5:D124)</f>
        <v>8.8353636542292627E-4</v>
      </c>
      <c r="H7" s="5">
        <f ca="1">+G7*12</f>
        <v>1.0602436385075116E-2</v>
      </c>
    </row>
    <row r="8" spans="1:8" x14ac:dyDescent="0.2">
      <c r="B8" s="1" vm="10">
        <f ca="1"/>
        <v>42552</v>
      </c>
      <c r="C8" s="1" vm="11">
        <f ca="1"/>
        <v>20.945499999999999</v>
      </c>
      <c r="D8" s="5">
        <f t="shared" ca="1" si="0"/>
        <v>3.2571186306988409E-2</v>
      </c>
      <c r="G8" s="6"/>
      <c r="H8" s="5"/>
    </row>
    <row r="9" spans="1:8" x14ac:dyDescent="0.2">
      <c r="B9" s="1" vm="12">
        <f ca="1"/>
        <v>42583</v>
      </c>
      <c r="C9" s="1" vm="13">
        <f ca="1"/>
        <v>20.9544</v>
      </c>
      <c r="D9" s="5">
        <f t="shared" ca="1" si="0"/>
        <v>4.2491227232582536E-4</v>
      </c>
    </row>
    <row r="10" spans="1:8" x14ac:dyDescent="0.2">
      <c r="B10" s="1" vm="14">
        <f ca="1"/>
        <v>42614</v>
      </c>
      <c r="C10" s="1" vm="15">
        <f ca="1"/>
        <v>21.773599999999998</v>
      </c>
      <c r="D10" s="5">
        <f t="shared" ca="1" si="0"/>
        <v>3.9094414538235339E-2</v>
      </c>
    </row>
    <row r="11" spans="1:8" x14ac:dyDescent="0.2">
      <c r="B11" s="1" vm="16">
        <f ca="1"/>
        <v>42644</v>
      </c>
      <c r="C11" s="1" vm="17">
        <f ca="1"/>
        <v>20.7042</v>
      </c>
      <c r="D11" s="5">
        <f t="shared" ca="1" si="0"/>
        <v>-4.9114524010728508E-2</v>
      </c>
    </row>
    <row r="12" spans="1:8" x14ac:dyDescent="0.2">
      <c r="B12" s="1" vm="18">
        <f ca="1"/>
        <v>42675</v>
      </c>
      <c r="C12" s="1" vm="19">
        <f ca="1"/>
        <v>21.772200000000002</v>
      </c>
      <c r="D12" s="5">
        <f t="shared" ca="1" si="0"/>
        <v>5.1583736633146964E-2</v>
      </c>
    </row>
    <row r="13" spans="1:8" x14ac:dyDescent="0.2">
      <c r="B13" s="1" vm="20">
        <f ca="1"/>
        <v>42705</v>
      </c>
      <c r="C13" s="1" vm="21">
        <f ca="1"/>
        <v>21.777699999999999</v>
      </c>
      <c r="D13" s="5">
        <f t="shared" ca="1" si="0"/>
        <v>2.526157209651684E-4</v>
      </c>
    </row>
    <row r="14" spans="1:8" x14ac:dyDescent="0.2">
      <c r="B14" s="1" vm="22">
        <f ca="1"/>
        <v>42736</v>
      </c>
      <c r="C14" s="1" vm="23">
        <f ca="1"/>
        <v>22.490200000000002</v>
      </c>
      <c r="D14" s="5">
        <f t="shared" ca="1" si="0"/>
        <v>3.2716953580956769E-2</v>
      </c>
    </row>
    <row r="15" spans="1:8" x14ac:dyDescent="0.2">
      <c r="B15" s="1" vm="24">
        <f ca="1"/>
        <v>42767</v>
      </c>
      <c r="C15" s="1" vm="25">
        <f ca="1"/>
        <v>21.255800000000001</v>
      </c>
      <c r="D15" s="5">
        <f t="shared" ca="1" si="0"/>
        <v>-5.4886128180274107E-2</v>
      </c>
    </row>
    <row r="16" spans="1:8" x14ac:dyDescent="0.2">
      <c r="B16" s="1" vm="26">
        <f ca="1"/>
        <v>42795</v>
      </c>
      <c r="C16" s="1" vm="27">
        <f ca="1"/>
        <v>19.936</v>
      </c>
      <c r="D16" s="5">
        <f t="shared" ca="1" si="0"/>
        <v>-6.2091288024915585E-2</v>
      </c>
    </row>
    <row r="17" spans="2:4" x14ac:dyDescent="0.2">
      <c r="B17" s="1" vm="28">
        <f ca="1"/>
        <v>42826</v>
      </c>
      <c r="C17" s="1" vm="29">
        <f ca="1"/>
        <v>20.493500000000001</v>
      </c>
      <c r="D17" s="5">
        <f t="shared" ca="1" si="0"/>
        <v>2.7964486356340339E-2</v>
      </c>
    </row>
    <row r="18" spans="2:4" x14ac:dyDescent="0.2">
      <c r="B18" s="1" vm="30">
        <f ca="1"/>
        <v>42856</v>
      </c>
      <c r="C18" s="1" vm="31">
        <f ca="1"/>
        <v>20.9298</v>
      </c>
      <c r="D18" s="5">
        <f t="shared" ca="1" si="0"/>
        <v>2.1289677214726584E-2</v>
      </c>
    </row>
    <row r="19" spans="2:4" x14ac:dyDescent="0.2">
      <c r="B19" s="1" vm="32">
        <f ca="1"/>
        <v>42887</v>
      </c>
      <c r="C19" s="1" vm="33">
        <f ca="1"/>
        <v>20.701699999999999</v>
      </c>
      <c r="D19" s="5">
        <f t="shared" ca="1" si="0"/>
        <v>-1.0898336343395603E-2</v>
      </c>
    </row>
    <row r="20" spans="2:4" x14ac:dyDescent="0.2">
      <c r="B20" s="1" vm="34">
        <f ca="1"/>
        <v>42917</v>
      </c>
      <c r="C20" s="1" vm="35">
        <f ca="1"/>
        <v>21.0654</v>
      </c>
      <c r="D20" s="5">
        <f t="shared" ca="1" si="0"/>
        <v>1.7568605476844967E-2</v>
      </c>
    </row>
    <row r="21" spans="2:4" x14ac:dyDescent="0.2">
      <c r="B21" s="1" vm="36">
        <f ca="1"/>
        <v>42948</v>
      </c>
      <c r="C21" s="1" vm="37">
        <f ca="1"/>
        <v>21.293900000000001</v>
      </c>
      <c r="D21" s="5">
        <f t="shared" ca="1" si="0"/>
        <v>1.0847171190672874E-2</v>
      </c>
    </row>
    <row r="22" spans="2:4" x14ac:dyDescent="0.2">
      <c r="B22" s="1" vm="38">
        <f ca="1"/>
        <v>42979</v>
      </c>
      <c r="C22" s="1" vm="39">
        <f ca="1"/>
        <v>21.556899999999999</v>
      </c>
      <c r="D22" s="5">
        <f t="shared" ca="1" si="0"/>
        <v>1.2350954968324173E-2</v>
      </c>
    </row>
    <row r="23" spans="2:4" x14ac:dyDescent="0.2">
      <c r="B23" s="1" vm="40">
        <f ca="1"/>
        <v>43009</v>
      </c>
      <c r="C23" s="1" vm="41">
        <f ca="1"/>
        <v>22.294799999999999</v>
      </c>
      <c r="D23" s="5">
        <f t="shared" ca="1" si="0"/>
        <v>3.4230339241727699E-2</v>
      </c>
    </row>
    <row r="24" spans="2:4" x14ac:dyDescent="0.2">
      <c r="B24" s="1" vm="42">
        <f ca="1"/>
        <v>43040</v>
      </c>
      <c r="C24" s="1" vm="43">
        <f ca="1"/>
        <v>22.1722</v>
      </c>
      <c r="D24" s="5">
        <f t="shared" ca="1" si="0"/>
        <v>-5.499040134919286E-3</v>
      </c>
    </row>
    <row r="25" spans="2:4" x14ac:dyDescent="0.2">
      <c r="B25" s="1" vm="44">
        <f ca="1"/>
        <v>43070</v>
      </c>
      <c r="C25" s="1" vm="45">
        <f ca="1"/>
        <v>23.569700000000001</v>
      </c>
      <c r="D25" s="5">
        <f t="shared" ca="1" si="0"/>
        <v>6.3029379132427135E-2</v>
      </c>
    </row>
    <row r="26" spans="2:4" x14ac:dyDescent="0.2">
      <c r="B26" s="1" vm="46">
        <f ca="1"/>
        <v>43101</v>
      </c>
      <c r="C26" s="1" vm="47">
        <f ca="1"/>
        <v>23.089400000000001</v>
      </c>
      <c r="D26" s="5">
        <f t="shared" ca="1" si="0"/>
        <v>-2.0377858012617881E-2</v>
      </c>
    </row>
    <row r="27" spans="2:4" x14ac:dyDescent="0.2">
      <c r="B27" s="1" vm="48">
        <f ca="1"/>
        <v>43132</v>
      </c>
      <c r="C27" s="1" vm="49">
        <f ca="1"/>
        <v>22.958100000000002</v>
      </c>
      <c r="D27" s="5">
        <f t="shared" ca="1" si="0"/>
        <v>-5.6865921158626691E-3</v>
      </c>
    </row>
    <row r="28" spans="2:4" x14ac:dyDescent="0.2">
      <c r="B28" s="1" vm="50">
        <f ca="1"/>
        <v>43160</v>
      </c>
      <c r="C28" s="1" vm="51">
        <f ca="1"/>
        <v>22.3626</v>
      </c>
      <c r="D28" s="5">
        <f t="shared" ca="1" si="0"/>
        <v>-2.5938557633253676E-2</v>
      </c>
    </row>
    <row r="29" spans="2:4" x14ac:dyDescent="0.2">
      <c r="B29" s="1" vm="52">
        <f ca="1"/>
        <v>43191</v>
      </c>
      <c r="C29" s="1" vm="53">
        <f ca="1"/>
        <v>22.5991</v>
      </c>
      <c r="D29" s="5">
        <f t="shared" ca="1" si="0"/>
        <v>1.0575693345138736E-2</v>
      </c>
    </row>
    <row r="30" spans="2:4" x14ac:dyDescent="0.2">
      <c r="B30" s="1" vm="54">
        <f ca="1"/>
        <v>43221</v>
      </c>
      <c r="C30" s="1" vm="55">
        <f ca="1"/>
        <v>23.272500000000001</v>
      </c>
      <c r="D30" s="5">
        <f t="shared" ca="1" si="0"/>
        <v>2.979764680894376E-2</v>
      </c>
    </row>
    <row r="31" spans="2:4" x14ac:dyDescent="0.2">
      <c r="B31" s="1" vm="56">
        <f ca="1"/>
        <v>43252</v>
      </c>
      <c r="C31" s="1" vm="57">
        <f ca="1"/>
        <v>23.259699999999999</v>
      </c>
      <c r="D31" s="5">
        <f t="shared" ca="1" si="0"/>
        <v>-5.5000537114629469E-4</v>
      </c>
    </row>
    <row r="32" spans="2:4" x14ac:dyDescent="0.2">
      <c r="B32" s="1" vm="58">
        <f ca="1"/>
        <v>43282</v>
      </c>
      <c r="C32" s="1" vm="59">
        <f ca="1"/>
        <v>21.7987</v>
      </c>
      <c r="D32" s="5">
        <f t="shared" ca="1" si="0"/>
        <v>-6.2812504030576435E-2</v>
      </c>
    </row>
    <row r="33" spans="2:4" x14ac:dyDescent="0.2">
      <c r="B33" s="1" vm="60">
        <f ca="1"/>
        <v>43313</v>
      </c>
      <c r="C33" s="1" vm="61">
        <f ca="1"/>
        <v>22.123100000000001</v>
      </c>
      <c r="D33" s="5">
        <f t="shared" ca="1" si="0"/>
        <v>1.4881621381091564E-2</v>
      </c>
    </row>
    <row r="34" spans="2:4" x14ac:dyDescent="0.2">
      <c r="B34" s="1" vm="62">
        <f ca="1"/>
        <v>43344</v>
      </c>
      <c r="C34" s="1" vm="63">
        <f ca="1"/>
        <v>21.716200000000001</v>
      </c>
      <c r="D34" s="5">
        <f t="shared" ca="1" si="0"/>
        <v>-1.8392539924332495E-2</v>
      </c>
    </row>
    <row r="35" spans="2:4" x14ac:dyDescent="0.2">
      <c r="B35" s="1" vm="64">
        <f ca="1"/>
        <v>43374</v>
      </c>
      <c r="C35" s="1" vm="65">
        <f ca="1"/>
        <v>22.992699999999999</v>
      </c>
      <c r="D35" s="5">
        <f t="shared" ca="1" si="0"/>
        <v>5.8781002201121681E-2</v>
      </c>
    </row>
    <row r="36" spans="2:4" x14ac:dyDescent="0.2">
      <c r="B36" s="1" vm="66">
        <f ca="1"/>
        <v>43405</v>
      </c>
      <c r="C36" s="1" vm="67">
        <f ca="1"/>
        <v>23.078099999999999</v>
      </c>
      <c r="D36" s="5">
        <f t="shared" ca="1" si="0"/>
        <v>3.7142223401340391E-3</v>
      </c>
    </row>
    <row r="37" spans="2:4" x14ac:dyDescent="0.2">
      <c r="B37" s="1" vm="68">
        <f ca="1"/>
        <v>43435</v>
      </c>
      <c r="C37" s="1" vm="69">
        <f ca="1"/>
        <v>22.525500000000001</v>
      </c>
      <c r="D37" s="5">
        <f t="shared" ca="1" si="0"/>
        <v>-2.3944778816280293E-2</v>
      </c>
    </row>
    <row r="38" spans="2:4" x14ac:dyDescent="0.2">
      <c r="B38" s="1" vm="70">
        <f ca="1"/>
        <v>43466</v>
      </c>
      <c r="C38" s="1" vm="71">
        <f ca="1"/>
        <v>21.868500000000001</v>
      </c>
      <c r="D38" s="5">
        <f t="shared" ca="1" si="0"/>
        <v>-2.9166944129986015E-2</v>
      </c>
    </row>
    <row r="39" spans="2:4" x14ac:dyDescent="0.2">
      <c r="B39" s="1" vm="72">
        <f ca="1"/>
        <v>43497</v>
      </c>
      <c r="C39" s="1" vm="73">
        <f ca="1"/>
        <v>21.918500000000002</v>
      </c>
      <c r="D39" s="5">
        <f t="shared" ca="1" si="0"/>
        <v>2.2863936712623502E-3</v>
      </c>
    </row>
    <row r="40" spans="2:4" x14ac:dyDescent="0.2">
      <c r="B40" s="1" vm="74">
        <f ca="1"/>
        <v>43525</v>
      </c>
      <c r="C40" s="1" vm="75">
        <f ca="1"/>
        <v>21.7851</v>
      </c>
      <c r="D40" s="5">
        <f t="shared" ca="1" si="0"/>
        <v>-6.0861829048521445E-3</v>
      </c>
    </row>
    <row r="41" spans="2:4" x14ac:dyDescent="0.2">
      <c r="B41" s="1" vm="76">
        <f ca="1"/>
        <v>43556</v>
      </c>
      <c r="C41" s="1" vm="77">
        <f ca="1"/>
        <v>21.2395</v>
      </c>
      <c r="D41" s="5">
        <f t="shared" ca="1" si="0"/>
        <v>-2.504464060298095E-2</v>
      </c>
    </row>
    <row r="42" spans="2:4" x14ac:dyDescent="0.2">
      <c r="B42" s="1" vm="78">
        <f ca="1"/>
        <v>43586</v>
      </c>
      <c r="C42" s="1" vm="79">
        <f ca="1"/>
        <v>21.918099999999999</v>
      </c>
      <c r="D42" s="5">
        <f t="shared" ca="1" si="0"/>
        <v>3.1949904658772545E-2</v>
      </c>
    </row>
    <row r="43" spans="2:4" x14ac:dyDescent="0.2">
      <c r="B43" s="1" vm="80">
        <f ca="1"/>
        <v>43617</v>
      </c>
      <c r="C43" s="1" vm="81">
        <f ca="1"/>
        <v>21.844999999999999</v>
      </c>
      <c r="D43" s="5">
        <f t="shared" ca="1" si="0"/>
        <v>-3.3351431009074769E-3</v>
      </c>
    </row>
    <row r="44" spans="2:4" x14ac:dyDescent="0.2">
      <c r="B44" s="1" vm="82">
        <f ca="1"/>
        <v>43647</v>
      </c>
      <c r="C44" s="1" vm="83">
        <f ca="1"/>
        <v>21.180700000000002</v>
      </c>
      <c r="D44" s="5">
        <f t="shared" ca="1" si="0"/>
        <v>-3.0409704737926174E-2</v>
      </c>
    </row>
    <row r="45" spans="2:4" x14ac:dyDescent="0.2">
      <c r="B45" s="1" vm="84">
        <f ca="1"/>
        <v>43678</v>
      </c>
      <c r="C45" s="1" vm="85">
        <f ca="1"/>
        <v>22.0412</v>
      </c>
      <c r="D45" s="5">
        <f t="shared" ca="1" si="0"/>
        <v>4.0626608185753928E-2</v>
      </c>
    </row>
    <row r="46" spans="2:4" x14ac:dyDescent="0.2">
      <c r="B46" s="1" vm="86">
        <f ca="1"/>
        <v>43709</v>
      </c>
      <c r="C46" s="1" vm="87">
        <f ca="1"/>
        <v>21.496300000000002</v>
      </c>
      <c r="D46" s="5">
        <f t="shared" ca="1" si="0"/>
        <v>-2.4721884470899878E-2</v>
      </c>
    </row>
    <row r="47" spans="2:4" x14ac:dyDescent="0.2">
      <c r="B47" s="1" vm="88">
        <f ca="1"/>
        <v>43739</v>
      </c>
      <c r="C47" s="1" vm="89">
        <f ca="1"/>
        <v>21.4392</v>
      </c>
      <c r="D47" s="5">
        <f t="shared" ca="1" si="0"/>
        <v>-2.6562710792090694E-3</v>
      </c>
    </row>
    <row r="48" spans="2:4" x14ac:dyDescent="0.2">
      <c r="B48" s="1" vm="90">
        <f ca="1"/>
        <v>43770</v>
      </c>
      <c r="C48" s="1" vm="91">
        <f ca="1"/>
        <v>21.547499999999999</v>
      </c>
      <c r="D48" s="5">
        <f t="shared" ca="1" si="0"/>
        <v>5.0514944587484534E-3</v>
      </c>
    </row>
    <row r="49" spans="2:4" x14ac:dyDescent="0.2">
      <c r="B49" s="1" vm="92">
        <f ca="1"/>
        <v>43800</v>
      </c>
      <c r="C49" s="1" vm="93">
        <f ca="1"/>
        <v>21.2149</v>
      </c>
      <c r="D49" s="5">
        <f t="shared" ca="1" si="0"/>
        <v>-1.5435665390416492E-2</v>
      </c>
    </row>
    <row r="50" spans="2:4" x14ac:dyDescent="0.2">
      <c r="B50" s="1" vm="94">
        <f ca="1"/>
        <v>43831</v>
      </c>
      <c r="C50" s="1" vm="95">
        <f ca="1"/>
        <v>20.893999999999998</v>
      </c>
      <c r="D50" s="5">
        <f t="shared" ca="1" si="0"/>
        <v>-1.5126161330008709E-2</v>
      </c>
    </row>
    <row r="51" spans="2:4" x14ac:dyDescent="0.2">
      <c r="B51" s="1" vm="96">
        <f ca="1"/>
        <v>43862</v>
      </c>
      <c r="C51" s="1" vm="97">
        <f ca="1"/>
        <v>21.6189</v>
      </c>
      <c r="D51" s="5">
        <f t="shared" ca="1" si="0"/>
        <v>3.4694170575284851E-2</v>
      </c>
    </row>
    <row r="52" spans="2:4" x14ac:dyDescent="0.2">
      <c r="B52" s="1" vm="98">
        <f ca="1"/>
        <v>43891</v>
      </c>
      <c r="C52" s="1" vm="99">
        <f ca="1"/>
        <v>26.154199999999999</v>
      </c>
      <c r="D52" s="5">
        <f t="shared" ca="1" si="0"/>
        <v>0.20978403156497322</v>
      </c>
    </row>
    <row r="53" spans="2:4" x14ac:dyDescent="0.2">
      <c r="B53" s="1" vm="100">
        <f ca="1"/>
        <v>43922</v>
      </c>
      <c r="C53" s="1" vm="101">
        <f ca="1"/>
        <v>26.4574</v>
      </c>
      <c r="D53" s="5">
        <f t="shared" ca="1" si="0"/>
        <v>1.1592784332917863E-2</v>
      </c>
    </row>
    <row r="54" spans="2:4" x14ac:dyDescent="0.2">
      <c r="B54" s="1" vm="102">
        <f ca="1"/>
        <v>43952</v>
      </c>
      <c r="C54" s="1" vm="103">
        <f ca="1"/>
        <v>24.601500000000001</v>
      </c>
      <c r="D54" s="5">
        <f t="shared" ca="1" si="0"/>
        <v>-7.0146726435704132E-2</v>
      </c>
    </row>
    <row r="55" spans="2:4" x14ac:dyDescent="0.2">
      <c r="B55" s="1" vm="104">
        <f ca="1"/>
        <v>43983</v>
      </c>
      <c r="C55" s="1" vm="105">
        <f ca="1"/>
        <v>25.8188</v>
      </c>
      <c r="D55" s="5">
        <f t="shared" ca="1" si="0"/>
        <v>4.9480722720159256E-2</v>
      </c>
    </row>
    <row r="56" spans="2:4" x14ac:dyDescent="0.2">
      <c r="B56" s="1" vm="106">
        <f ca="1"/>
        <v>44013</v>
      </c>
      <c r="C56" s="1" vm="107">
        <f ca="1"/>
        <v>26.228999999999999</v>
      </c>
      <c r="D56" s="5">
        <f t="shared" ca="1" si="0"/>
        <v>1.5887647760546564E-2</v>
      </c>
    </row>
    <row r="57" spans="2:4" x14ac:dyDescent="0.2">
      <c r="B57" s="1" vm="108">
        <f ca="1"/>
        <v>44044</v>
      </c>
      <c r="C57" s="1" vm="109">
        <f ca="1"/>
        <v>26.1142</v>
      </c>
      <c r="D57" s="5">
        <f t="shared" ca="1" si="0"/>
        <v>-4.3768348011742307E-3</v>
      </c>
    </row>
    <row r="58" spans="2:4" x14ac:dyDescent="0.2">
      <c r="B58" s="1" vm="110">
        <f ca="1"/>
        <v>44075</v>
      </c>
      <c r="C58" s="1" vm="111">
        <f ca="1"/>
        <v>25.895600000000002</v>
      </c>
      <c r="D58" s="5">
        <f t="shared" ca="1" si="0"/>
        <v>-8.3709246310435925E-3</v>
      </c>
    </row>
    <row r="59" spans="2:4" x14ac:dyDescent="0.2">
      <c r="B59" s="1" vm="112">
        <f ca="1"/>
        <v>44105</v>
      </c>
      <c r="C59" s="1" vm="113">
        <f ca="1"/>
        <v>24.657900000000001</v>
      </c>
      <c r="D59" s="5">
        <f t="shared" ca="1" si="0"/>
        <v>-4.7795764531426192E-2</v>
      </c>
    </row>
    <row r="60" spans="2:4" x14ac:dyDescent="0.2">
      <c r="B60" s="1" vm="114">
        <f ca="1"/>
        <v>44136</v>
      </c>
      <c r="C60" s="1" vm="115">
        <f ca="1"/>
        <v>24.053999999999998</v>
      </c>
      <c r="D60" s="5">
        <f t="shared" ca="1" si="0"/>
        <v>-2.4491136714805517E-2</v>
      </c>
    </row>
    <row r="61" spans="2:4" x14ac:dyDescent="0.2">
      <c r="B61" s="1" vm="116">
        <f ca="1"/>
        <v>44166</v>
      </c>
      <c r="C61" s="1" vm="117">
        <f ca="1"/>
        <v>24.2685</v>
      </c>
      <c r="D61" s="5">
        <f t="shared" ca="1" si="0"/>
        <v>8.9174357695186255E-3</v>
      </c>
    </row>
    <row r="62" spans="2:4" x14ac:dyDescent="0.2">
      <c r="B62" s="1" vm="118">
        <f ca="1"/>
        <v>44197</v>
      </c>
      <c r="C62" s="1" vm="119">
        <f ca="1"/>
        <v>24.982600000000001</v>
      </c>
      <c r="D62" s="5">
        <f t="shared" ca="1" si="0"/>
        <v>2.942497476152222E-2</v>
      </c>
    </row>
    <row r="63" spans="2:4" x14ac:dyDescent="0.2">
      <c r="B63" s="1" vm="120">
        <f ca="1"/>
        <v>44228</v>
      </c>
      <c r="C63" s="1" vm="121">
        <f ca="1"/>
        <v>25.171900000000001</v>
      </c>
      <c r="D63" s="5">
        <f t="shared" ca="1" si="0"/>
        <v>7.5772737825526302E-3</v>
      </c>
    </row>
    <row r="64" spans="2:4" x14ac:dyDescent="0.2">
      <c r="B64" s="1" vm="122">
        <f ca="1"/>
        <v>44256</v>
      </c>
      <c r="C64" s="1" vm="123">
        <f ca="1"/>
        <v>23.950900000000001</v>
      </c>
      <c r="D64" s="5">
        <f t="shared" ca="1" si="0"/>
        <v>-4.8506469515610662E-2</v>
      </c>
    </row>
    <row r="65" spans="2:4" x14ac:dyDescent="0.2">
      <c r="B65" s="1" vm="124">
        <f ca="1"/>
        <v>44287</v>
      </c>
      <c r="C65" s="1" vm="125">
        <f ca="1"/>
        <v>24.307600000000001</v>
      </c>
      <c r="D65" s="5">
        <f t="shared" ca="1" si="0"/>
        <v>1.4892968531453932E-2</v>
      </c>
    </row>
    <row r="66" spans="2:4" x14ac:dyDescent="0.2">
      <c r="B66" s="1" vm="126">
        <f ca="1"/>
        <v>44317</v>
      </c>
      <c r="C66" s="1" vm="127">
        <f ca="1"/>
        <v>24.3841</v>
      </c>
      <c r="D66" s="5">
        <f t="shared" ca="1" si="0"/>
        <v>3.1471638499892766E-3</v>
      </c>
    </row>
    <row r="67" spans="2:4" x14ac:dyDescent="0.2">
      <c r="B67" s="1" vm="128">
        <f ca="1"/>
        <v>44348</v>
      </c>
      <c r="C67" s="1" vm="129">
        <f ca="1"/>
        <v>23.6282</v>
      </c>
      <c r="D67" s="5">
        <f t="shared" ca="1" si="0"/>
        <v>-3.0999708826653451E-2</v>
      </c>
    </row>
    <row r="68" spans="2:4" x14ac:dyDescent="0.2">
      <c r="B68" s="1" vm="130">
        <f ca="1"/>
        <v>44378</v>
      </c>
      <c r="C68" s="1" vm="131">
        <f ca="1"/>
        <v>23.567900000000002</v>
      </c>
      <c r="D68" s="5">
        <f t="shared" ca="1" si="0"/>
        <v>-2.5520352798773507E-3</v>
      </c>
    </row>
    <row r="69" spans="2:4" x14ac:dyDescent="0.2">
      <c r="B69" s="1" vm="132">
        <f ca="1"/>
        <v>44409</v>
      </c>
      <c r="C69" s="1" vm="133">
        <f ca="1"/>
        <v>23.688400000000001</v>
      </c>
      <c r="D69" s="5">
        <f t="shared" ca="1" si="0"/>
        <v>5.1128865957509925E-3</v>
      </c>
    </row>
    <row r="70" spans="2:4" x14ac:dyDescent="0.2">
      <c r="B70" s="1" vm="134">
        <f ca="1"/>
        <v>44440</v>
      </c>
      <c r="C70" s="1" vm="135">
        <f ca="1"/>
        <v>23.8916</v>
      </c>
      <c r="D70" s="5">
        <f t="shared" ref="D70:D124" ca="1" si="1">+(C70-C69)/C69</f>
        <v>8.5780381959101887E-3</v>
      </c>
    </row>
    <row r="71" spans="2:4" x14ac:dyDescent="0.2">
      <c r="B71" s="1" vm="136">
        <f ca="1"/>
        <v>44470</v>
      </c>
      <c r="C71" s="1" vm="137">
        <f ca="1"/>
        <v>23.752099999999999</v>
      </c>
      <c r="D71" s="5">
        <f t="shared" ca="1" si="1"/>
        <v>-5.8388722396156695E-3</v>
      </c>
    </row>
    <row r="72" spans="2:4" x14ac:dyDescent="0.2">
      <c r="B72" s="1" vm="138">
        <f ca="1"/>
        <v>44501</v>
      </c>
      <c r="C72" s="1" vm="139">
        <f ca="1"/>
        <v>24.300799999999999</v>
      </c>
      <c r="D72" s="5">
        <f t="shared" ca="1" si="1"/>
        <v>2.310111526980773E-2</v>
      </c>
    </row>
    <row r="73" spans="2:4" x14ac:dyDescent="0.2">
      <c r="B73" s="1" vm="140">
        <f ca="1"/>
        <v>44531</v>
      </c>
      <c r="C73" s="1" vm="141">
        <f ca="1"/>
        <v>23.2896</v>
      </c>
      <c r="D73" s="5">
        <f t="shared" ca="1" si="1"/>
        <v>-4.1611798788517201E-2</v>
      </c>
    </row>
    <row r="74" spans="2:4" x14ac:dyDescent="0.2">
      <c r="B74" s="1" vm="142">
        <f ca="1"/>
        <v>44562</v>
      </c>
      <c r="C74" s="1" vm="143">
        <f ca="1"/>
        <v>23.168099999999999</v>
      </c>
      <c r="D74" s="5">
        <f t="shared" ca="1" si="1"/>
        <v>-5.2169208573784459E-3</v>
      </c>
    </row>
    <row r="75" spans="2:4" x14ac:dyDescent="0.2">
      <c r="B75" s="1" vm="144">
        <f ca="1"/>
        <v>44593</v>
      </c>
      <c r="C75" s="1" vm="145">
        <f ca="1"/>
        <v>22.955200000000001</v>
      </c>
      <c r="D75" s="5">
        <f t="shared" ca="1" si="1"/>
        <v>-9.1893595072534071E-3</v>
      </c>
    </row>
    <row r="76" spans="2:4" x14ac:dyDescent="0.2">
      <c r="B76" s="1" vm="146">
        <f ca="1"/>
        <v>44621</v>
      </c>
      <c r="C76" s="1" vm="147">
        <f ca="1"/>
        <v>21.9618</v>
      </c>
      <c r="D76" s="5">
        <f t="shared" ca="1" si="1"/>
        <v>-4.3275597685927418E-2</v>
      </c>
    </row>
    <row r="77" spans="2:4" x14ac:dyDescent="0.2">
      <c r="B77" s="1" vm="148">
        <f ca="1"/>
        <v>44652</v>
      </c>
      <c r="C77" s="1" vm="149">
        <f ca="1"/>
        <v>21.5152</v>
      </c>
      <c r="D77" s="5">
        <f t="shared" ca="1" si="1"/>
        <v>-2.0335309491936002E-2</v>
      </c>
    </row>
    <row r="78" spans="2:4" x14ac:dyDescent="0.2">
      <c r="B78" s="1" vm="150">
        <f ca="1"/>
        <v>44682</v>
      </c>
      <c r="C78" s="1" vm="151">
        <f ca="1"/>
        <v>21.092300000000002</v>
      </c>
      <c r="D78" s="5">
        <f t="shared" ca="1" si="1"/>
        <v>-1.9655871198036665E-2</v>
      </c>
    </row>
    <row r="79" spans="2:4" x14ac:dyDescent="0.2">
      <c r="B79" s="1" vm="152">
        <f ca="1"/>
        <v>44713</v>
      </c>
      <c r="C79" s="1" vm="153">
        <f ca="1"/>
        <v>21.057300000000001</v>
      </c>
      <c r="D79" s="5">
        <f t="shared" ca="1" si="1"/>
        <v>-1.6593733258108475E-3</v>
      </c>
    </row>
    <row r="80" spans="2:4" x14ac:dyDescent="0.2">
      <c r="B80" s="1" vm="154">
        <f ca="1"/>
        <v>44743</v>
      </c>
      <c r="C80" s="1" vm="155">
        <f ca="1"/>
        <v>20.793600000000001</v>
      </c>
      <c r="D80" s="5">
        <f t="shared" ca="1" si="1"/>
        <v>-1.2522973030730437E-2</v>
      </c>
    </row>
    <row r="81" spans="2:4" x14ac:dyDescent="0.2">
      <c r="B81" s="1" vm="156">
        <f ca="1"/>
        <v>44774</v>
      </c>
      <c r="C81" s="1" vm="157">
        <f ca="1"/>
        <v>20.249600000000001</v>
      </c>
      <c r="D81" s="5">
        <f t="shared" ca="1" si="1"/>
        <v>-2.6161895967990172E-2</v>
      </c>
    </row>
    <row r="82" spans="2:4" x14ac:dyDescent="0.2">
      <c r="B82" s="1" vm="158">
        <f ca="1"/>
        <v>44805</v>
      </c>
      <c r="C82" s="1" vm="159">
        <f ca="1"/>
        <v>19.735199999999999</v>
      </c>
      <c r="D82" s="5">
        <f t="shared" ca="1" si="1"/>
        <v>-2.5402970922882524E-2</v>
      </c>
    </row>
    <row r="83" spans="2:4" x14ac:dyDescent="0.2">
      <c r="B83" s="1" vm="160">
        <f ca="1"/>
        <v>44835</v>
      </c>
      <c r="C83" s="1" vm="161">
        <f ca="1"/>
        <v>19.5624</v>
      </c>
      <c r="D83" s="5">
        <f t="shared" ca="1" si="1"/>
        <v>-8.7559284932505754E-3</v>
      </c>
    </row>
    <row r="84" spans="2:4" x14ac:dyDescent="0.2">
      <c r="B84" s="1" vm="162">
        <f ca="1"/>
        <v>44866</v>
      </c>
      <c r="C84" s="1" vm="163">
        <f ca="1"/>
        <v>20.0307</v>
      </c>
      <c r="D84" s="5">
        <f t="shared" ca="1" si="1"/>
        <v>2.393878051772785E-2</v>
      </c>
    </row>
    <row r="85" spans="2:4" x14ac:dyDescent="0.2">
      <c r="B85" s="1" vm="164">
        <f ca="1"/>
        <v>44896</v>
      </c>
      <c r="C85" s="1" vm="165">
        <f ca="1"/>
        <v>20.841100000000001</v>
      </c>
      <c r="D85" s="5">
        <f t="shared" ca="1" si="1"/>
        <v>4.0457897127908725E-2</v>
      </c>
    </row>
    <row r="86" spans="2:4" x14ac:dyDescent="0.2">
      <c r="B86" s="1" vm="166">
        <f ca="1"/>
        <v>44927</v>
      </c>
      <c r="C86" s="1" vm="167">
        <f ca="1"/>
        <v>20.442299999999999</v>
      </c>
      <c r="D86" s="5">
        <f t="shared" ca="1" si="1"/>
        <v>-1.9135266372696323E-2</v>
      </c>
    </row>
    <row r="87" spans="2:4" x14ac:dyDescent="0.2">
      <c r="B87" s="1" vm="168">
        <f ca="1"/>
        <v>44958</v>
      </c>
      <c r="C87" s="1" vm="169">
        <f ca="1"/>
        <v>19.3551</v>
      </c>
      <c r="D87" s="5">
        <f t="shared" ca="1" si="1"/>
        <v>-5.3183839391849216E-2</v>
      </c>
    </row>
    <row r="88" spans="2:4" x14ac:dyDescent="0.2">
      <c r="B88" s="1" vm="170">
        <f ca="1"/>
        <v>44986</v>
      </c>
      <c r="C88" s="1" vm="171">
        <f ca="1"/>
        <v>19.520900000000001</v>
      </c>
      <c r="D88" s="5">
        <f t="shared" ca="1" si="1"/>
        <v>8.5662176893945702E-3</v>
      </c>
    </row>
    <row r="89" spans="2:4" x14ac:dyDescent="0.2">
      <c r="B89" s="1" vm="172">
        <f ca="1"/>
        <v>45017</v>
      </c>
      <c r="C89" s="1" vm="173">
        <f ca="1"/>
        <v>19.814</v>
      </c>
      <c r="D89" s="5">
        <f t="shared" ca="1" si="1"/>
        <v>1.5014676577411852E-2</v>
      </c>
    </row>
    <row r="90" spans="2:4" x14ac:dyDescent="0.2">
      <c r="B90" s="1" vm="174">
        <f ca="1"/>
        <v>45047</v>
      </c>
      <c r="C90" s="1" vm="175">
        <f ca="1"/>
        <v>18.898399999999999</v>
      </c>
      <c r="D90" s="5">
        <f t="shared" ca="1" si="1"/>
        <v>-4.6209750681336495E-2</v>
      </c>
    </row>
    <row r="91" spans="2:4" x14ac:dyDescent="0.2">
      <c r="B91" s="1" vm="176">
        <f ca="1"/>
        <v>45078</v>
      </c>
      <c r="C91" s="1" vm="177">
        <f ca="1"/>
        <v>18.6708</v>
      </c>
      <c r="D91" s="5">
        <f t="shared" ca="1" si="1"/>
        <v>-1.2043347584980683E-2</v>
      </c>
    </row>
    <row r="92" spans="2:4" x14ac:dyDescent="0.2">
      <c r="B92" s="1" vm="178">
        <f ca="1"/>
        <v>45108</v>
      </c>
      <c r="C92" s="1" vm="179">
        <f ca="1"/>
        <v>18.394100000000002</v>
      </c>
      <c r="D92" s="5">
        <f t="shared" ca="1" si="1"/>
        <v>-1.4819932729181298E-2</v>
      </c>
    </row>
    <row r="93" spans="2:4" x14ac:dyDescent="0.2">
      <c r="B93" s="1" vm="180">
        <f ca="1"/>
        <v>45139</v>
      </c>
      <c r="C93" s="1" vm="181">
        <f ca="1"/>
        <v>18.459</v>
      </c>
      <c r="D93" s="5">
        <f t="shared" ca="1" si="1"/>
        <v>3.528305271798998E-3</v>
      </c>
    </row>
    <row r="94" spans="2:4" x14ac:dyDescent="0.2">
      <c r="B94" s="1" vm="182">
        <f ca="1"/>
        <v>45170</v>
      </c>
      <c r="C94" s="1" vm="183">
        <f ca="1"/>
        <v>18.396799999999999</v>
      </c>
      <c r="D94" s="5">
        <f t="shared" ca="1" si="1"/>
        <v>-3.3696299907904383E-3</v>
      </c>
    </row>
    <row r="95" spans="2:4" x14ac:dyDescent="0.2">
      <c r="B95" s="1" vm="184">
        <f ca="1"/>
        <v>45200</v>
      </c>
      <c r="C95" s="1" vm="185">
        <f ca="1"/>
        <v>19.075900000000001</v>
      </c>
      <c r="D95" s="5">
        <f t="shared" ca="1" si="1"/>
        <v>3.6914028526700393E-2</v>
      </c>
    </row>
    <row r="96" spans="2:4" x14ac:dyDescent="0.2">
      <c r="B96" s="1" vm="186">
        <f ca="1"/>
        <v>45231</v>
      </c>
      <c r="C96" s="1" vm="187">
        <f ca="1"/>
        <v>18.9162</v>
      </c>
      <c r="D96" s="5">
        <f t="shared" ca="1" si="1"/>
        <v>-8.371819940343618E-3</v>
      </c>
    </row>
    <row r="97" spans="2:4" x14ac:dyDescent="0.2">
      <c r="B97" s="1" vm="188">
        <f ca="1"/>
        <v>45261</v>
      </c>
      <c r="C97" s="1" vm="189">
        <f ca="1"/>
        <v>18.7104</v>
      </c>
      <c r="D97" s="5">
        <f t="shared" ca="1" si="1"/>
        <v>-1.0879563548704285E-2</v>
      </c>
    </row>
    <row r="98" spans="2:4" x14ac:dyDescent="0.2">
      <c r="B98" s="1" vm="190">
        <f ca="1"/>
        <v>45292</v>
      </c>
      <c r="C98" s="1" vm="191">
        <f ca="1"/>
        <v>18.616499999999998</v>
      </c>
      <c r="D98" s="5">
        <f t="shared" ca="1" si="1"/>
        <v>-5.0185992816829906E-3</v>
      </c>
    </row>
    <row r="99" spans="2:4" x14ac:dyDescent="0.2">
      <c r="B99" s="1" vm="192">
        <f ca="1"/>
        <v>45323</v>
      </c>
      <c r="C99" s="1" vm="193">
        <f ca="1"/>
        <v>18.4178</v>
      </c>
      <c r="D99" s="5">
        <f t="shared" ca="1" si="1"/>
        <v>-1.0673327424596394E-2</v>
      </c>
    </row>
    <row r="100" spans="2:4" x14ac:dyDescent="0.2">
      <c r="B100" s="1" vm="194">
        <f ca="1"/>
        <v>45352</v>
      </c>
      <c r="C100" s="1" vm="195">
        <f ca="1"/>
        <v>17.841799999999999</v>
      </c>
      <c r="D100" s="5">
        <f t="shared" ca="1" si="1"/>
        <v>-3.1274093539945085E-2</v>
      </c>
    </row>
    <row r="101" spans="2:4" x14ac:dyDescent="0.2">
      <c r="B101" s="1" vm="196">
        <f ca="1"/>
        <v>45383</v>
      </c>
      <c r="C101" s="1" vm="197">
        <f ca="1"/>
        <v>18.262799999999999</v>
      </c>
      <c r="D101" s="5">
        <f t="shared" ca="1" si="1"/>
        <v>2.3596273918550785E-2</v>
      </c>
    </row>
    <row r="102" spans="2:4" x14ac:dyDescent="0.2">
      <c r="B102" s="1" vm="198">
        <f ca="1"/>
        <v>45413</v>
      </c>
      <c r="C102" s="1" vm="199">
        <f ca="1"/>
        <v>18.4221</v>
      </c>
      <c r="D102" s="5">
        <f t="shared" ca="1" si="1"/>
        <v>8.7226493199291343E-3</v>
      </c>
    </row>
    <row r="103" spans="2:4" x14ac:dyDescent="0.2">
      <c r="B103" s="1" vm="200">
        <f ca="1"/>
        <v>45444</v>
      </c>
      <c r="C103" s="1" vm="201">
        <f ca="1"/>
        <v>19.636900000000001</v>
      </c>
      <c r="D103" s="5">
        <f t="shared" ca="1" si="1"/>
        <v>6.5942536410072694E-2</v>
      </c>
    </row>
    <row r="104" spans="2:4" x14ac:dyDescent="0.2">
      <c r="B104" s="1" vm="202">
        <f ca="1"/>
        <v>45474</v>
      </c>
      <c r="C104" s="1" vm="203">
        <f ca="1"/>
        <v>20.134499999999999</v>
      </c>
      <c r="D104" s="5">
        <f t="shared" ca="1" si="1"/>
        <v>2.5340048582006246E-2</v>
      </c>
    </row>
    <row r="105" spans="2:4" x14ac:dyDescent="0.2">
      <c r="B105" s="1" vm="204">
        <f ca="1"/>
        <v>45505</v>
      </c>
      <c r="C105" s="1" vm="15">
        <f ca="1"/>
        <v>21.773599999999998</v>
      </c>
      <c r="D105" s="5">
        <f t="shared" ca="1" si="1"/>
        <v>8.1407534331619819E-2</v>
      </c>
    </row>
    <row r="106" spans="2:4" x14ac:dyDescent="0.2">
      <c r="B106" s="1" vm="205">
        <f ca="1"/>
        <v>45536</v>
      </c>
      <c r="C106" s="1" vm="206">
        <f ca="1"/>
        <v>21.912800000000001</v>
      </c>
      <c r="D106" s="5">
        <f t="shared" ca="1" si="1"/>
        <v>6.3930631590551146E-3</v>
      </c>
    </row>
    <row r="107" spans="2:4" x14ac:dyDescent="0.2">
      <c r="B107" s="1" vm="207">
        <f ca="1"/>
        <v>45566</v>
      </c>
      <c r="C107" s="1" vm="208">
        <f ca="1"/>
        <v>21.7791</v>
      </c>
      <c r="D107" s="5">
        <f t="shared" ca="1" si="1"/>
        <v>-6.1014566828520786E-3</v>
      </c>
    </row>
    <row r="108" spans="2:4" x14ac:dyDescent="0.2">
      <c r="B108" s="1" vm="209">
        <f ca="1"/>
        <v>45597</v>
      </c>
      <c r="C108" s="1" vm="210">
        <f ca="1"/>
        <v>21.5318</v>
      </c>
      <c r="D108" s="5">
        <f t="shared" ca="1" si="1"/>
        <v>-1.1354922838868419E-2</v>
      </c>
    </row>
    <row r="109" spans="2:4" x14ac:dyDescent="0.2">
      <c r="B109" s="1" vm="211">
        <f ca="1"/>
        <v>45627</v>
      </c>
      <c r="C109" s="1" vm="212">
        <f ca="1"/>
        <v>21.554600000000001</v>
      </c>
      <c r="D109" s="5">
        <f t="shared" ca="1" si="1"/>
        <v>1.0588989308836303E-3</v>
      </c>
    </row>
    <row r="110" spans="2:4" x14ac:dyDescent="0.2">
      <c r="B110" s="1" vm="213">
        <f ca="1"/>
        <v>45658</v>
      </c>
      <c r="C110" s="1" vm="214">
        <f ca="1"/>
        <v>21.426500000000001</v>
      </c>
      <c r="D110" s="5">
        <f t="shared" ca="1" si="1"/>
        <v>-5.9430469598136769E-3</v>
      </c>
    </row>
    <row r="111" spans="2:4" x14ac:dyDescent="0.2">
      <c r="B111" s="1" vm="215">
        <f ca="1"/>
        <v>45689</v>
      </c>
      <c r="C111" s="1" vm="216">
        <f ca="1"/>
        <v>21.300899999999999</v>
      </c>
      <c r="D111" s="5">
        <f t="shared" ca="1" si="1"/>
        <v>-5.8618999836651878E-3</v>
      </c>
    </row>
    <row r="112" spans="2:4" x14ac:dyDescent="0.2">
      <c r="B112" s="1" vm="217">
        <f ca="1"/>
        <v>45717</v>
      </c>
      <c r="C112" s="1" vm="218">
        <f ca="1"/>
        <v>22.1294</v>
      </c>
      <c r="D112" s="5">
        <f t="shared" ca="1" si="1"/>
        <v>3.8895070161354774E-2</v>
      </c>
    </row>
    <row r="113" spans="1:4" x14ac:dyDescent="0.2">
      <c r="B113" s="1" vm="219">
        <f ca="1"/>
        <v>45748</v>
      </c>
      <c r="C113" s="1" vm="220">
        <f ca="1"/>
        <v>22.202100000000002</v>
      </c>
      <c r="D113" s="5">
        <f t="shared" ca="1" si="1"/>
        <v>3.2852223738556443E-3</v>
      </c>
    </row>
    <row r="114" spans="1:4" x14ac:dyDescent="0.2">
      <c r="B114" s="1" vm="221">
        <f ca="1"/>
        <v>45778</v>
      </c>
      <c r="C114" s="1" vm="222">
        <f ca="1"/>
        <v>22.025700000000001</v>
      </c>
      <c r="D114" s="5">
        <f t="shared" ca="1" si="1"/>
        <v>-7.9451943735052537E-3</v>
      </c>
    </row>
    <row r="115" spans="1:4" x14ac:dyDescent="0.2">
      <c r="B115" s="1" vm="223">
        <f ca="1"/>
        <v>45809</v>
      </c>
      <c r="C115" s="1" vm="224">
        <f ca="1"/>
        <v>22.0899</v>
      </c>
      <c r="D115" s="5">
        <f t="shared" ca="1" si="1"/>
        <v>2.914776828886237E-3</v>
      </c>
    </row>
    <row r="116" spans="1:4" x14ac:dyDescent="0.2">
      <c r="B116" s="1" vm="225">
        <f ca="1"/>
        <v>45839</v>
      </c>
      <c r="C116" s="1" vm="226">
        <f ca="1"/>
        <v>21.540400000000002</v>
      </c>
      <c r="D116" s="5">
        <f t="shared" ca="1" si="1"/>
        <v>-2.4875621890547189E-2</v>
      </c>
    </row>
    <row r="117" spans="1:4" x14ac:dyDescent="0.2">
      <c r="B117" s="1" vm="227">
        <f ca="1"/>
        <v>45870</v>
      </c>
      <c r="C117" s="1" vm="228">
        <f ca="1"/>
        <v>21.780100000000001</v>
      </c>
      <c r="D117" s="5">
        <f t="shared" ca="1" si="1"/>
        <v>1.1127927057993311E-2</v>
      </c>
    </row>
    <row r="118" spans="1:4" x14ac:dyDescent="0.2">
      <c r="B118" s="1" vm="229">
        <f ca="1"/>
        <v>45901</v>
      </c>
      <c r="C118" s="1" vm="230">
        <f ca="1"/>
        <v>21.4801</v>
      </c>
      <c r="D118" s="5">
        <f t="shared" ca="1" si="1"/>
        <v>-1.3774041441499383E-2</v>
      </c>
    </row>
    <row r="119" spans="1:4" x14ac:dyDescent="0.2">
      <c r="B119" s="1" vm="231">
        <f ca="1"/>
        <v>45931</v>
      </c>
      <c r="C119" s="1" vm="232">
        <f ca="1"/>
        <v>21.386299999999999</v>
      </c>
      <c r="D119" s="5">
        <f t="shared" ca="1" si="1"/>
        <v>-4.3668325566455302E-3</v>
      </c>
    </row>
    <row r="120" spans="1:4" x14ac:dyDescent="0.2">
      <c r="B120" s="1" vm="233">
        <f ca="1"/>
        <v>45962</v>
      </c>
      <c r="C120" s="1" vm="234">
        <f ca="1"/>
        <v>21.206900000000001</v>
      </c>
      <c r="D120" s="5">
        <f t="shared" ca="1" si="1"/>
        <v>-8.3885478086437384E-3</v>
      </c>
    </row>
    <row r="121" spans="1:4" x14ac:dyDescent="0.2">
      <c r="B121" s="1" vm="235">
        <f ca="1"/>
        <v>45992</v>
      </c>
      <c r="C121" s="1" vm="236">
        <f ca="1"/>
        <v>21.1463</v>
      </c>
      <c r="D121" s="5">
        <f t="shared" ca="1" si="1"/>
        <v>-2.8575605109658116E-3</v>
      </c>
    </row>
    <row r="122" spans="1:4" x14ac:dyDescent="0.2">
      <c r="B122" s="1" vm="237">
        <f ca="1"/>
        <v>46023</v>
      </c>
      <c r="C122" s="1" vm="238">
        <f ca="1"/>
        <v>20.674800000000001</v>
      </c>
      <c r="D122" s="5">
        <f t="shared" ca="1" si="1"/>
        <v>-2.2297044873098314E-2</v>
      </c>
    </row>
    <row r="123" spans="1:4" x14ac:dyDescent="0.2">
      <c r="B123" s="1" vm="239">
        <f ca="1"/>
        <v>46054</v>
      </c>
      <c r="C123" s="1" vm="240">
        <f ca="1"/>
        <v>20.330200000000001</v>
      </c>
      <c r="D123" s="5">
        <f t="shared" ca="1" si="1"/>
        <v>-1.6667634027898687E-2</v>
      </c>
    </row>
    <row r="124" spans="1:4" x14ac:dyDescent="0.2">
      <c r="B124" s="1" vm="241">
        <f ca="1"/>
        <v>46082</v>
      </c>
      <c r="C124" s="1" vm="242">
        <f ca="1"/>
        <v>20.477</v>
      </c>
      <c r="D124" s="5">
        <f t="shared" ca="1" si="1"/>
        <v>7.2207848422543271E-3</v>
      </c>
    </row>
    <row r="126" spans="1:4" x14ac:dyDescent="0.2">
      <c r="A126" s="7" t="s">
        <v>62</v>
      </c>
    </row>
  </sheetData>
  <hyperlinks>
    <hyperlink ref="A126" r:id="rId1" display="https://es-us.finanzas.yahoo.com/quote/EURMXN%3DX/history/" xr:uid="{FF6DF440-74CD-40D4-835E-CD096B74C4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792F-E4BE-4D13-BE4B-81D9CFA5AC33}">
  <dimension ref="A1:AN994"/>
  <sheetViews>
    <sheetView zoomScale="130" zoomScaleNormal="130" workbookViewId="0">
      <selection activeCell="F12" sqref="F12"/>
    </sheetView>
  </sheetViews>
  <sheetFormatPr baseColWidth="10" defaultColWidth="14.5" defaultRowHeight="15" customHeight="1" outlineLevelCol="1" x14ac:dyDescent="0.2"/>
  <cols>
    <col min="1" max="1" width="35.1640625" style="12" customWidth="1"/>
    <col min="2" max="22" width="10.6640625" style="12" customWidth="1"/>
    <col min="23" max="23" width="13.5" style="12" customWidth="1"/>
    <col min="24" max="28" width="10.6640625" style="12" customWidth="1"/>
    <col min="29" max="40" width="10.6640625" style="12" customWidth="1" outlineLevel="1"/>
    <col min="41" max="64" width="10.6640625" style="12" customWidth="1"/>
    <col min="65" max="16384" width="14.5" style="12"/>
  </cols>
  <sheetData>
    <row r="1" spans="1:10" ht="14.25" customHeight="1" x14ac:dyDescent="0.2">
      <c r="A1" s="11" t="s">
        <v>84</v>
      </c>
      <c r="B1" s="12" t="s">
        <v>86</v>
      </c>
      <c r="C1" s="22" t="s">
        <v>87</v>
      </c>
      <c r="D1" s="12" t="s">
        <v>88</v>
      </c>
    </row>
    <row r="2" spans="1:10" ht="14.25" customHeight="1" x14ac:dyDescent="0.2">
      <c r="A2" s="1" t="s">
        <v>93</v>
      </c>
      <c r="B2" s="18">
        <v>3</v>
      </c>
      <c r="C2" s="23">
        <f>+B2*H2</f>
        <v>53.661000000000001</v>
      </c>
      <c r="D2" s="21">
        <f>+B2*H3</f>
        <v>2.5818000000000003</v>
      </c>
      <c r="G2" s="12" t="s">
        <v>89</v>
      </c>
      <c r="H2" s="18">
        <v>17.887</v>
      </c>
      <c r="J2" s="7" t="s">
        <v>91</v>
      </c>
    </row>
    <row r="3" spans="1:10" ht="14.25" customHeight="1" x14ac:dyDescent="0.2">
      <c r="A3" s="1" t="s">
        <v>94</v>
      </c>
      <c r="B3" s="18">
        <v>1</v>
      </c>
      <c r="C3" s="23">
        <f>+B3*H2</f>
        <v>17.887</v>
      </c>
      <c r="D3" s="21">
        <f>+B3*H3</f>
        <v>0.86060000000000003</v>
      </c>
      <c r="G3" s="12" t="s">
        <v>90</v>
      </c>
      <c r="H3" s="18">
        <v>0.86060000000000003</v>
      </c>
      <c r="J3" s="7" t="s">
        <v>92</v>
      </c>
    </row>
    <row r="4" spans="1:10" ht="14.25" customHeight="1" x14ac:dyDescent="0.2">
      <c r="A4" s="1" t="s">
        <v>95</v>
      </c>
      <c r="B4" s="19">
        <v>0.15</v>
      </c>
      <c r="C4" s="24">
        <f>+B4</f>
        <v>0.15</v>
      </c>
      <c r="D4" s="20">
        <f>+C4</f>
        <v>0.15</v>
      </c>
    </row>
    <row r="5" spans="1:10" ht="14.25" customHeight="1" x14ac:dyDescent="0.2">
      <c r="A5" s="13" t="s">
        <v>96</v>
      </c>
      <c r="B5" s="18">
        <v>35</v>
      </c>
      <c r="C5" s="23">
        <f>+B5*H2</f>
        <v>626.04500000000007</v>
      </c>
      <c r="D5" s="21">
        <f>+B5*H3</f>
        <v>30.121000000000002</v>
      </c>
    </row>
    <row r="6" spans="1:10" ht="14.25" customHeight="1" x14ac:dyDescent="0.2">
      <c r="A6" s="1" t="s">
        <v>97</v>
      </c>
      <c r="B6" s="18">
        <v>35</v>
      </c>
      <c r="C6" s="23">
        <f>+B6*H2</f>
        <v>626.04500000000007</v>
      </c>
      <c r="D6" s="21">
        <f>+B6*H3</f>
        <v>30.121000000000002</v>
      </c>
    </row>
    <row r="7" spans="1:10" ht="14.25" customHeight="1" x14ac:dyDescent="0.2">
      <c r="A7" s="13" t="s">
        <v>98</v>
      </c>
      <c r="B7" s="12">
        <v>6</v>
      </c>
      <c r="C7" s="22">
        <f>+B7</f>
        <v>6</v>
      </c>
      <c r="D7" s="12">
        <f>+C7</f>
        <v>6</v>
      </c>
    </row>
    <row r="8" spans="1:10" ht="14.25" customHeight="1" x14ac:dyDescent="0.2">
      <c r="A8" s="11"/>
      <c r="C8" s="22"/>
    </row>
    <row r="9" spans="1:10" ht="14.25" customHeight="1" x14ac:dyDescent="0.2">
      <c r="A9" s="26" t="s">
        <v>99</v>
      </c>
      <c r="C9" s="22"/>
    </row>
    <row r="10" spans="1:10" ht="14.25" customHeight="1" x14ac:dyDescent="0.2">
      <c r="A10" s="1" t="s">
        <v>97</v>
      </c>
      <c r="B10" s="18">
        <v>15</v>
      </c>
      <c r="C10" s="23">
        <f>+B10*H2</f>
        <v>268.30500000000001</v>
      </c>
      <c r="D10" s="21">
        <f>+B10*H3</f>
        <v>12.909000000000001</v>
      </c>
    </row>
    <row r="11" spans="1:10" ht="14.25" customHeight="1" x14ac:dyDescent="0.2">
      <c r="A11" s="25" t="s">
        <v>100</v>
      </c>
      <c r="B11" s="19">
        <v>0.2</v>
      </c>
      <c r="C11" s="24">
        <f>+B11</f>
        <v>0.2</v>
      </c>
      <c r="D11" s="20">
        <f>+C11</f>
        <v>0.2</v>
      </c>
    </row>
    <row r="12" spans="1:10" ht="14.25" customHeight="1" x14ac:dyDescent="0.2">
      <c r="A12" s="11"/>
      <c r="C12" s="22"/>
    </row>
    <row r="13" spans="1:10" ht="14.25" customHeight="1" x14ac:dyDescent="0.2">
      <c r="A13" s="26" t="s">
        <v>101</v>
      </c>
      <c r="B13" s="19">
        <v>0.1</v>
      </c>
      <c r="C13" s="24">
        <f>+B13</f>
        <v>0.1</v>
      </c>
      <c r="D13" s="20">
        <f>+C13</f>
        <v>0.1</v>
      </c>
    </row>
    <row r="14" spans="1:10" ht="14.25" customHeight="1" x14ac:dyDescent="0.2">
      <c r="A14" s="11"/>
      <c r="C14" s="22"/>
    </row>
    <row r="15" spans="1:10" ht="14.25" customHeight="1" x14ac:dyDescent="0.2">
      <c r="A15" s="26" t="s">
        <v>102</v>
      </c>
      <c r="C15" s="22"/>
    </row>
    <row r="16" spans="1:10" ht="14.25" customHeight="1" x14ac:dyDescent="0.2">
      <c r="A16" s="25" t="s">
        <v>100</v>
      </c>
      <c r="B16" s="19">
        <v>0.2</v>
      </c>
      <c r="C16" s="24">
        <f>+B16</f>
        <v>0.2</v>
      </c>
      <c r="D16" s="20">
        <f>+C16</f>
        <v>0.2</v>
      </c>
    </row>
    <row r="17" spans="1:1" ht="14.25" customHeight="1" x14ac:dyDescent="0.2"/>
    <row r="18" spans="1:1" ht="14.25" hidden="1" customHeight="1" x14ac:dyDescent="0.2">
      <c r="A18" s="13" t="s">
        <v>85</v>
      </c>
    </row>
    <row r="19" spans="1:1" ht="14.25" hidden="1" customHeight="1" x14ac:dyDescent="0.2"/>
    <row r="20" spans="1:1" ht="14.25" hidden="1" customHeight="1" x14ac:dyDescent="0.2">
      <c r="A20" s="14" t="s">
        <v>84</v>
      </c>
    </row>
    <row r="21" spans="1:1" ht="14.25" hidden="1" customHeight="1" x14ac:dyDescent="0.2">
      <c r="A21" s="15" t="s">
        <v>83</v>
      </c>
    </row>
    <row r="22" spans="1:1" ht="14.25" hidden="1" customHeight="1" x14ac:dyDescent="0.2">
      <c r="A22" s="13" t="s">
        <v>76</v>
      </c>
    </row>
    <row r="23" spans="1:1" ht="14.25" hidden="1" customHeight="1" x14ac:dyDescent="0.2">
      <c r="A23" s="15" t="s">
        <v>77</v>
      </c>
    </row>
    <row r="24" spans="1:1" ht="14.25" hidden="1" customHeight="1" x14ac:dyDescent="0.2">
      <c r="A24" s="13" t="s">
        <v>76</v>
      </c>
    </row>
    <row r="25" spans="1:1" ht="14.25" hidden="1" customHeight="1" x14ac:dyDescent="0.2">
      <c r="A25" s="13" t="s">
        <v>75</v>
      </c>
    </row>
    <row r="26" spans="1:1" ht="14.25" hidden="1" customHeight="1" x14ac:dyDescent="0.2">
      <c r="A26" s="13" t="s">
        <v>74</v>
      </c>
    </row>
    <row r="27" spans="1:1" ht="14.25" hidden="1" customHeight="1" x14ac:dyDescent="0.2">
      <c r="A27" s="13" t="s">
        <v>73</v>
      </c>
    </row>
    <row r="28" spans="1:1" ht="14.25" hidden="1" customHeight="1" x14ac:dyDescent="0.2">
      <c r="A28" s="13" t="s">
        <v>72</v>
      </c>
    </row>
    <row r="29" spans="1:1" ht="14.25" hidden="1" customHeight="1" x14ac:dyDescent="0.2">
      <c r="A29" s="13" t="s">
        <v>71</v>
      </c>
    </row>
    <row r="30" spans="1:1" ht="14.25" hidden="1" customHeight="1" x14ac:dyDescent="0.2">
      <c r="A30" s="13" t="s">
        <v>70</v>
      </c>
    </row>
    <row r="31" spans="1:1" ht="14.25" hidden="1" customHeight="1" x14ac:dyDescent="0.2">
      <c r="A31" s="13" t="s">
        <v>69</v>
      </c>
    </row>
    <row r="32" spans="1:1" ht="14.25" hidden="1" customHeight="1" x14ac:dyDescent="0.2">
      <c r="A32" s="13" t="s">
        <v>68</v>
      </c>
    </row>
    <row r="33" spans="1:1" ht="14.25" hidden="1" customHeight="1" x14ac:dyDescent="0.2">
      <c r="A33" s="13" t="s">
        <v>67</v>
      </c>
    </row>
    <row r="34" spans="1:1" ht="14.25" hidden="1" customHeight="1" x14ac:dyDescent="0.2">
      <c r="A34" s="13" t="s">
        <v>66</v>
      </c>
    </row>
    <row r="35" spans="1:1" ht="14.25" hidden="1" customHeight="1" x14ac:dyDescent="0.2">
      <c r="A35" s="14" t="s">
        <v>82</v>
      </c>
    </row>
    <row r="36" spans="1:1" ht="14.25" hidden="1" customHeight="1" x14ac:dyDescent="0.2">
      <c r="A36" s="13"/>
    </row>
    <row r="37" spans="1:1" ht="14.25" hidden="1" customHeight="1" x14ac:dyDescent="0.2">
      <c r="A37" s="11" t="s">
        <v>81</v>
      </c>
    </row>
    <row r="38" spans="1:1" ht="14.25" hidden="1" customHeight="1" x14ac:dyDescent="0.2">
      <c r="A38" s="15" t="s">
        <v>78</v>
      </c>
    </row>
    <row r="39" spans="1:1" ht="14.25" hidden="1" customHeight="1" x14ac:dyDescent="0.2">
      <c r="A39" s="13" t="s">
        <v>76</v>
      </c>
    </row>
    <row r="40" spans="1:1" ht="14.25" hidden="1" customHeight="1" x14ac:dyDescent="0.2">
      <c r="A40" s="15" t="s">
        <v>77</v>
      </c>
    </row>
    <row r="41" spans="1:1" ht="14.25" hidden="1" customHeight="1" x14ac:dyDescent="0.2">
      <c r="A41" s="13" t="s">
        <v>76</v>
      </c>
    </row>
    <row r="42" spans="1:1" ht="14.25" hidden="1" customHeight="1" x14ac:dyDescent="0.2">
      <c r="A42" s="13" t="s">
        <v>75</v>
      </c>
    </row>
    <row r="43" spans="1:1" ht="14.25" hidden="1" customHeight="1" x14ac:dyDescent="0.2">
      <c r="A43" s="13" t="s">
        <v>74</v>
      </c>
    </row>
    <row r="44" spans="1:1" ht="14.25" hidden="1" customHeight="1" x14ac:dyDescent="0.2">
      <c r="A44" s="13" t="s">
        <v>73</v>
      </c>
    </row>
    <row r="45" spans="1:1" ht="14.25" hidden="1" customHeight="1" x14ac:dyDescent="0.2">
      <c r="A45" s="13" t="s">
        <v>72</v>
      </c>
    </row>
    <row r="46" spans="1:1" ht="14.25" hidden="1" customHeight="1" x14ac:dyDescent="0.2">
      <c r="A46" s="13" t="s">
        <v>71</v>
      </c>
    </row>
    <row r="47" spans="1:1" ht="14.25" hidden="1" customHeight="1" x14ac:dyDescent="0.2">
      <c r="A47" s="13" t="s">
        <v>70</v>
      </c>
    </row>
    <row r="48" spans="1:1" ht="14.25" hidden="1" customHeight="1" x14ac:dyDescent="0.2">
      <c r="A48" s="13" t="s">
        <v>69</v>
      </c>
    </row>
    <row r="49" spans="1:1" ht="14.25" hidden="1" customHeight="1" x14ac:dyDescent="0.2">
      <c r="A49" s="13" t="s">
        <v>68</v>
      </c>
    </row>
    <row r="50" spans="1:1" ht="14.25" hidden="1" customHeight="1" x14ac:dyDescent="0.2">
      <c r="A50" s="13" t="s">
        <v>67</v>
      </c>
    </row>
    <row r="51" spans="1:1" ht="14.25" hidden="1" customHeight="1" x14ac:dyDescent="0.2">
      <c r="A51" s="13" t="s">
        <v>66</v>
      </c>
    </row>
    <row r="52" spans="1:1" ht="14.25" hidden="1" customHeight="1" x14ac:dyDescent="0.2">
      <c r="A52" s="14" t="s">
        <v>80</v>
      </c>
    </row>
    <row r="53" spans="1:1" ht="14.25" hidden="1" customHeight="1" x14ac:dyDescent="0.2">
      <c r="A53" s="13"/>
    </row>
    <row r="54" spans="1:1" ht="14.25" hidden="1" customHeight="1" x14ac:dyDescent="0.2">
      <c r="A54" s="11" t="s">
        <v>79</v>
      </c>
    </row>
    <row r="55" spans="1:1" ht="14.25" hidden="1" customHeight="1" x14ac:dyDescent="0.2">
      <c r="A55" s="15" t="s">
        <v>78</v>
      </c>
    </row>
    <row r="56" spans="1:1" ht="14.25" hidden="1" customHeight="1" x14ac:dyDescent="0.2">
      <c r="A56" s="13" t="s">
        <v>76</v>
      </c>
    </row>
    <row r="57" spans="1:1" ht="14.25" hidden="1" customHeight="1" x14ac:dyDescent="0.2">
      <c r="A57" s="13" t="s">
        <v>75</v>
      </c>
    </row>
    <row r="58" spans="1:1" ht="14.25" hidden="1" customHeight="1" x14ac:dyDescent="0.2">
      <c r="A58" s="13" t="s">
        <v>74</v>
      </c>
    </row>
    <row r="59" spans="1:1" ht="14.25" hidden="1" customHeight="1" x14ac:dyDescent="0.2">
      <c r="A59" s="13" t="s">
        <v>73</v>
      </c>
    </row>
    <row r="60" spans="1:1" ht="14.25" hidden="1" customHeight="1" x14ac:dyDescent="0.2">
      <c r="A60" s="13" t="s">
        <v>72</v>
      </c>
    </row>
    <row r="61" spans="1:1" ht="14.25" hidden="1" customHeight="1" x14ac:dyDescent="0.2">
      <c r="A61" s="13" t="s">
        <v>71</v>
      </c>
    </row>
    <row r="62" spans="1:1" ht="14.25" hidden="1" customHeight="1" x14ac:dyDescent="0.2">
      <c r="A62" s="13" t="s">
        <v>70</v>
      </c>
    </row>
    <row r="63" spans="1:1" ht="14.25" hidden="1" customHeight="1" x14ac:dyDescent="0.2">
      <c r="A63" s="13" t="s">
        <v>69</v>
      </c>
    </row>
    <row r="64" spans="1:1" ht="14.25" hidden="1" customHeight="1" x14ac:dyDescent="0.2">
      <c r="A64" s="13" t="s">
        <v>68</v>
      </c>
    </row>
    <row r="65" spans="1:1" ht="14.25" hidden="1" customHeight="1" x14ac:dyDescent="0.2">
      <c r="A65" s="13" t="s">
        <v>67</v>
      </c>
    </row>
    <row r="66" spans="1:1" ht="14.25" hidden="1" customHeight="1" x14ac:dyDescent="0.2">
      <c r="A66" s="13" t="s">
        <v>66</v>
      </c>
    </row>
    <row r="67" spans="1:1" ht="14.25" hidden="1" customHeight="1" x14ac:dyDescent="0.2">
      <c r="A67" s="15" t="s">
        <v>77</v>
      </c>
    </row>
    <row r="68" spans="1:1" ht="14.25" hidden="1" customHeight="1" x14ac:dyDescent="0.2">
      <c r="A68" s="13" t="s">
        <v>76</v>
      </c>
    </row>
    <row r="69" spans="1:1" ht="14.25" hidden="1" customHeight="1" x14ac:dyDescent="0.2">
      <c r="A69" s="13" t="s">
        <v>75</v>
      </c>
    </row>
    <row r="70" spans="1:1" ht="14.25" hidden="1" customHeight="1" x14ac:dyDescent="0.2">
      <c r="A70" s="13" t="s">
        <v>74</v>
      </c>
    </row>
    <row r="71" spans="1:1" ht="14.25" hidden="1" customHeight="1" x14ac:dyDescent="0.2">
      <c r="A71" s="13" t="s">
        <v>73</v>
      </c>
    </row>
    <row r="72" spans="1:1" ht="14.25" hidden="1" customHeight="1" x14ac:dyDescent="0.2">
      <c r="A72" s="13" t="s">
        <v>72</v>
      </c>
    </row>
    <row r="73" spans="1:1" ht="14.25" hidden="1" customHeight="1" x14ac:dyDescent="0.2">
      <c r="A73" s="13" t="s">
        <v>71</v>
      </c>
    </row>
    <row r="74" spans="1:1" ht="14.25" hidden="1" customHeight="1" x14ac:dyDescent="0.2">
      <c r="A74" s="13" t="s">
        <v>70</v>
      </c>
    </row>
    <row r="75" spans="1:1" ht="14.25" hidden="1" customHeight="1" x14ac:dyDescent="0.2">
      <c r="A75" s="13" t="s">
        <v>69</v>
      </c>
    </row>
    <row r="76" spans="1:1" ht="14.25" hidden="1" customHeight="1" x14ac:dyDescent="0.2">
      <c r="A76" s="13" t="s">
        <v>68</v>
      </c>
    </row>
    <row r="77" spans="1:1" ht="14.25" hidden="1" customHeight="1" x14ac:dyDescent="0.2">
      <c r="A77" s="13" t="s">
        <v>67</v>
      </c>
    </row>
    <row r="78" spans="1:1" ht="14.25" hidden="1" customHeight="1" x14ac:dyDescent="0.2">
      <c r="A78" s="13" t="s">
        <v>66</v>
      </c>
    </row>
    <row r="79" spans="1:1" ht="14.25" hidden="1" customHeight="1" x14ac:dyDescent="0.2">
      <c r="A79" s="14" t="s">
        <v>65</v>
      </c>
    </row>
    <row r="80" spans="1:1" ht="14.25" hidden="1" customHeight="1" x14ac:dyDescent="0.2">
      <c r="A80" s="13"/>
    </row>
    <row r="81" spans="1:1" ht="14.25" hidden="1" customHeight="1" x14ac:dyDescent="0.2">
      <c r="A81" s="13"/>
    </row>
    <row r="82" spans="1:1" ht="14.25" hidden="1" customHeight="1" x14ac:dyDescent="0.2">
      <c r="A82" s="13"/>
    </row>
    <row r="83" spans="1:1" ht="14.25" hidden="1" customHeight="1" x14ac:dyDescent="0.2">
      <c r="A83" s="13" t="s">
        <v>64</v>
      </c>
    </row>
    <row r="84" spans="1:1" ht="14.25" hidden="1" customHeight="1" x14ac:dyDescent="0.2">
      <c r="A84" s="13" t="s">
        <v>63</v>
      </c>
    </row>
    <row r="85" spans="1:1" ht="14.25" hidden="1" customHeight="1" x14ac:dyDescent="0.2">
      <c r="A85" s="13"/>
    </row>
    <row r="86" spans="1:1" ht="14.25" hidden="1" customHeight="1" x14ac:dyDescent="0.2">
      <c r="A86" s="13"/>
    </row>
    <row r="87" spans="1:1" ht="14.25" hidden="1" customHeight="1" x14ac:dyDescent="0.2">
      <c r="A87" s="13"/>
    </row>
    <row r="88" spans="1:1" ht="14.25" hidden="1" customHeight="1" x14ac:dyDescent="0.2">
      <c r="A88" s="13"/>
    </row>
    <row r="89" spans="1:1" ht="14.25" customHeight="1" x14ac:dyDescent="0.2"/>
    <row r="90" spans="1:1" ht="14.25" customHeight="1" x14ac:dyDescent="0.2"/>
    <row r="91" spans="1:1" ht="14.25" customHeight="1" x14ac:dyDescent="0.2"/>
    <row r="92" spans="1:1" ht="14.25" customHeight="1" x14ac:dyDescent="0.2"/>
    <row r="93" spans="1:1" ht="14.25" customHeight="1" x14ac:dyDescent="0.2"/>
    <row r="94" spans="1:1" ht="14.25" customHeight="1" x14ac:dyDescent="0.2"/>
    <row r="95" spans="1:1" ht="14.25" customHeight="1" x14ac:dyDescent="0.2"/>
    <row r="96" spans="1:1" ht="14.25" customHeight="1" x14ac:dyDescent="0.2"/>
    <row r="97" s="12" customFormat="1" ht="14.25" customHeight="1" x14ac:dyDescent="0.2"/>
    <row r="98" s="12" customFormat="1" ht="14.25" customHeight="1" x14ac:dyDescent="0.2"/>
    <row r="99" s="12" customFormat="1" ht="14.25" customHeight="1" x14ac:dyDescent="0.2"/>
    <row r="100" s="12" customFormat="1" ht="14.25" customHeight="1" x14ac:dyDescent="0.2"/>
    <row r="101" s="12" customFormat="1" ht="14.25" customHeight="1" x14ac:dyDescent="0.2"/>
    <row r="102" s="12" customFormat="1" ht="14.25" customHeight="1" x14ac:dyDescent="0.2"/>
    <row r="103" s="12" customFormat="1" ht="14.25" customHeight="1" x14ac:dyDescent="0.2"/>
    <row r="104" s="12" customFormat="1" ht="14.25" customHeight="1" x14ac:dyDescent="0.2"/>
    <row r="105" s="12" customFormat="1" ht="14.25" customHeight="1" x14ac:dyDescent="0.2"/>
    <row r="106" s="12" customFormat="1" ht="14.25" customHeight="1" x14ac:dyDescent="0.2"/>
    <row r="107" s="12" customFormat="1" ht="14.25" customHeight="1" x14ac:dyDescent="0.2"/>
    <row r="108" s="12" customFormat="1" ht="14.25" customHeight="1" x14ac:dyDescent="0.2"/>
    <row r="109" s="12" customFormat="1" ht="14.25" customHeight="1" x14ac:dyDescent="0.2"/>
    <row r="110" s="12" customFormat="1" ht="14.25" customHeight="1" x14ac:dyDescent="0.2"/>
    <row r="111" s="12" customFormat="1" ht="14.25" customHeight="1" x14ac:dyDescent="0.2"/>
    <row r="112" s="12" customFormat="1" ht="14.25" customHeight="1" x14ac:dyDescent="0.2"/>
    <row r="113" s="12" customFormat="1" ht="14.25" customHeight="1" x14ac:dyDescent="0.2"/>
    <row r="114" s="12" customFormat="1" ht="14.25" customHeight="1" x14ac:dyDescent="0.2"/>
    <row r="115" s="12" customFormat="1" ht="14.25" customHeight="1" x14ac:dyDescent="0.2"/>
    <row r="116" s="12" customFormat="1" ht="14.25" customHeight="1" x14ac:dyDescent="0.2"/>
    <row r="117" s="12" customFormat="1" ht="14.25" customHeight="1" x14ac:dyDescent="0.2"/>
    <row r="118" s="12" customFormat="1" ht="14.25" customHeight="1" x14ac:dyDescent="0.2"/>
    <row r="119" s="12" customFormat="1" ht="14.25" customHeight="1" x14ac:dyDescent="0.2"/>
    <row r="120" s="12" customFormat="1" ht="14.25" customHeight="1" x14ac:dyDescent="0.2"/>
    <row r="121" s="12" customFormat="1" ht="14.25" customHeight="1" x14ac:dyDescent="0.2"/>
    <row r="122" s="12" customFormat="1" ht="14.25" customHeight="1" x14ac:dyDescent="0.2"/>
    <row r="123" s="12" customFormat="1" ht="14.25" customHeight="1" x14ac:dyDescent="0.2"/>
    <row r="124" s="12" customFormat="1" ht="14.25" customHeight="1" x14ac:dyDescent="0.2"/>
    <row r="125" s="12" customFormat="1" ht="14.25" customHeight="1" x14ac:dyDescent="0.2"/>
    <row r="126" s="12" customFormat="1" ht="14.25" customHeight="1" x14ac:dyDescent="0.2"/>
    <row r="127" s="12" customFormat="1" ht="14.25" customHeight="1" x14ac:dyDescent="0.2"/>
    <row r="128" s="12" customFormat="1" ht="14.25" customHeight="1" x14ac:dyDescent="0.2"/>
    <row r="129" s="12" customFormat="1" ht="14.25" customHeight="1" x14ac:dyDescent="0.2"/>
    <row r="130" s="12" customFormat="1" ht="14.25" customHeight="1" x14ac:dyDescent="0.2"/>
    <row r="131" s="12" customFormat="1" ht="14.25" customHeight="1" x14ac:dyDescent="0.2"/>
    <row r="132" s="12" customFormat="1" ht="14.25" customHeight="1" x14ac:dyDescent="0.2"/>
    <row r="133" s="12" customFormat="1" ht="14.25" customHeight="1" x14ac:dyDescent="0.2"/>
    <row r="134" s="12" customFormat="1" ht="14.25" customHeight="1" x14ac:dyDescent="0.2"/>
    <row r="135" s="12" customFormat="1" ht="14.25" customHeight="1" x14ac:dyDescent="0.2"/>
    <row r="136" s="12" customFormat="1" ht="14.25" customHeight="1" x14ac:dyDescent="0.2"/>
    <row r="137" s="12" customFormat="1" ht="14.25" customHeight="1" x14ac:dyDescent="0.2"/>
    <row r="138" s="12" customFormat="1" ht="14.25" customHeight="1" x14ac:dyDescent="0.2"/>
    <row r="139" s="12" customFormat="1" ht="14.25" customHeight="1" x14ac:dyDescent="0.2"/>
    <row r="140" s="12" customFormat="1" ht="14.25" customHeight="1" x14ac:dyDescent="0.2"/>
    <row r="141" s="12" customFormat="1" ht="14.25" customHeight="1" x14ac:dyDescent="0.2"/>
    <row r="142" s="12" customFormat="1" ht="14.25" customHeight="1" x14ac:dyDescent="0.2"/>
    <row r="143" s="12" customFormat="1" ht="14.25" customHeight="1" x14ac:dyDescent="0.2"/>
    <row r="144" s="12" customFormat="1" ht="14.25" customHeight="1" x14ac:dyDescent="0.2"/>
    <row r="145" spans="2:36" ht="14.25" customHeight="1" x14ac:dyDescent="0.2"/>
    <row r="146" spans="2:36" ht="14.25" customHeight="1" x14ac:dyDescent="0.2"/>
    <row r="147" spans="2:36" ht="14.25" customHeight="1" x14ac:dyDescent="0.2"/>
    <row r="148" spans="2:36" ht="14.25" customHeight="1" x14ac:dyDescent="0.2"/>
    <row r="149" spans="2:36" ht="14.25" customHeight="1" x14ac:dyDescent="0.2"/>
    <row r="150" spans="2:36" ht="14.25" customHeight="1" x14ac:dyDescent="0.2"/>
    <row r="151" spans="2:36" ht="14.25" customHeight="1" x14ac:dyDescent="0.2">
      <c r="B151" s="16"/>
      <c r="AC151" s="17"/>
      <c r="AD151" s="17"/>
      <c r="AE151" s="17"/>
      <c r="AF151" s="17"/>
      <c r="AG151" s="17"/>
      <c r="AH151" s="17"/>
      <c r="AI151" s="17"/>
      <c r="AJ151" s="17"/>
    </row>
    <row r="152" spans="2:36" ht="14.25" customHeight="1" x14ac:dyDescent="0.2">
      <c r="B152" s="16"/>
      <c r="AC152" s="17"/>
      <c r="AD152" s="17"/>
      <c r="AE152" s="17"/>
      <c r="AF152" s="17"/>
      <c r="AG152" s="17"/>
      <c r="AH152" s="17"/>
      <c r="AI152" s="17"/>
      <c r="AJ152" s="17"/>
    </row>
    <row r="153" spans="2:36" ht="14.25" customHeight="1" x14ac:dyDescent="0.2">
      <c r="B153" s="16"/>
      <c r="AC153" s="17"/>
      <c r="AD153" s="17"/>
      <c r="AE153" s="17"/>
      <c r="AF153" s="17"/>
      <c r="AG153" s="17"/>
      <c r="AH153" s="17"/>
      <c r="AI153" s="17"/>
      <c r="AJ153" s="17"/>
    </row>
    <row r="154" spans="2:36" ht="14.25" customHeight="1" x14ac:dyDescent="0.2">
      <c r="B154" s="16"/>
      <c r="AC154" s="17"/>
      <c r="AD154" s="17"/>
      <c r="AE154" s="17"/>
      <c r="AF154" s="17"/>
      <c r="AG154" s="17"/>
      <c r="AH154" s="17"/>
      <c r="AI154" s="17"/>
      <c r="AJ154" s="17"/>
    </row>
    <row r="155" spans="2:36" ht="14.25" customHeight="1" x14ac:dyDescent="0.2">
      <c r="B155" s="16"/>
      <c r="AC155" s="17"/>
      <c r="AD155" s="17"/>
      <c r="AE155" s="17"/>
      <c r="AF155" s="17"/>
      <c r="AG155" s="17"/>
      <c r="AH155" s="17"/>
      <c r="AI155" s="17"/>
      <c r="AJ155" s="17"/>
    </row>
    <row r="156" spans="2:36" ht="14.25" customHeight="1" x14ac:dyDescent="0.2">
      <c r="B156" s="16"/>
      <c r="AC156" s="17"/>
      <c r="AD156" s="17"/>
      <c r="AE156" s="17"/>
      <c r="AF156" s="17"/>
      <c r="AG156" s="17"/>
      <c r="AH156" s="17"/>
      <c r="AI156" s="17"/>
      <c r="AJ156" s="17"/>
    </row>
    <row r="157" spans="2:36" ht="14.25" customHeight="1" x14ac:dyDescent="0.2">
      <c r="B157" s="16"/>
      <c r="AC157" s="17"/>
      <c r="AD157" s="17"/>
      <c r="AE157" s="17"/>
      <c r="AF157" s="17"/>
      <c r="AG157" s="17"/>
      <c r="AH157" s="17"/>
      <c r="AI157" s="17"/>
      <c r="AJ157" s="17"/>
    </row>
    <row r="158" spans="2:36" ht="14.25" customHeight="1" x14ac:dyDescent="0.2">
      <c r="B158" s="16"/>
      <c r="AC158" s="17"/>
      <c r="AD158" s="17"/>
      <c r="AE158" s="17"/>
      <c r="AF158" s="17"/>
      <c r="AG158" s="17"/>
      <c r="AH158" s="17"/>
      <c r="AI158" s="17"/>
      <c r="AJ158" s="17"/>
    </row>
    <row r="159" spans="2:36" ht="14.25" customHeight="1" x14ac:dyDescent="0.2">
      <c r="B159" s="16"/>
      <c r="AC159" s="17"/>
      <c r="AD159" s="17"/>
      <c r="AE159" s="17"/>
      <c r="AF159" s="17"/>
      <c r="AG159" s="17"/>
      <c r="AH159" s="17"/>
      <c r="AI159" s="17"/>
      <c r="AJ159" s="17"/>
    </row>
    <row r="160" spans="2:36" ht="14.25" customHeight="1" x14ac:dyDescent="0.2">
      <c r="B160" s="16"/>
      <c r="AC160" s="17"/>
      <c r="AD160" s="17"/>
      <c r="AE160" s="17"/>
      <c r="AF160" s="17"/>
      <c r="AG160" s="17"/>
      <c r="AH160" s="17"/>
      <c r="AI160" s="17"/>
      <c r="AJ160" s="17"/>
    </row>
    <row r="161" spans="2:36" ht="14.25" customHeight="1" x14ac:dyDescent="0.2">
      <c r="B161" s="16"/>
      <c r="AC161" s="17"/>
      <c r="AD161" s="17"/>
      <c r="AE161" s="17"/>
      <c r="AF161" s="17"/>
      <c r="AG161" s="17"/>
      <c r="AH161" s="17"/>
      <c r="AI161" s="17"/>
      <c r="AJ161" s="17"/>
    </row>
    <row r="162" spans="2:36" ht="14.25" customHeight="1" x14ac:dyDescent="0.2">
      <c r="B162" s="16"/>
      <c r="AC162" s="17"/>
      <c r="AD162" s="17"/>
      <c r="AE162" s="17"/>
      <c r="AF162" s="17"/>
      <c r="AG162" s="17"/>
      <c r="AH162" s="17"/>
      <c r="AI162" s="17"/>
      <c r="AJ162" s="17"/>
    </row>
    <row r="163" spans="2:36" ht="14.25" customHeight="1" x14ac:dyDescent="0.2">
      <c r="B163" s="16"/>
      <c r="AC163" s="17"/>
      <c r="AD163" s="17"/>
      <c r="AE163" s="17"/>
      <c r="AF163" s="17"/>
      <c r="AG163" s="17"/>
      <c r="AH163" s="17"/>
      <c r="AI163" s="17"/>
      <c r="AJ163" s="17"/>
    </row>
    <row r="164" spans="2:36" ht="14.25" customHeight="1" x14ac:dyDescent="0.2">
      <c r="B164" s="16"/>
      <c r="AC164" s="17"/>
      <c r="AD164" s="17"/>
      <c r="AE164" s="17"/>
      <c r="AF164" s="17"/>
      <c r="AG164" s="17"/>
      <c r="AH164" s="17"/>
      <c r="AI164" s="17"/>
      <c r="AJ164" s="17"/>
    </row>
    <row r="165" spans="2:36" ht="14.25" customHeight="1" x14ac:dyDescent="0.2">
      <c r="B165" s="16"/>
      <c r="AC165" s="17"/>
      <c r="AD165" s="17"/>
      <c r="AE165" s="17"/>
      <c r="AF165" s="17"/>
      <c r="AG165" s="17"/>
      <c r="AH165" s="17"/>
      <c r="AI165" s="17"/>
      <c r="AJ165" s="17"/>
    </row>
    <row r="166" spans="2:36" ht="14.25" customHeight="1" x14ac:dyDescent="0.2">
      <c r="B166" s="16"/>
      <c r="AC166" s="17"/>
      <c r="AD166" s="17"/>
      <c r="AE166" s="17"/>
      <c r="AF166" s="17"/>
      <c r="AG166" s="17"/>
      <c r="AH166" s="17"/>
      <c r="AI166" s="17"/>
      <c r="AJ166" s="17"/>
    </row>
    <row r="167" spans="2:36" ht="14.25" customHeight="1" x14ac:dyDescent="0.2">
      <c r="B167" s="16"/>
      <c r="AC167" s="17"/>
      <c r="AD167" s="17"/>
      <c r="AE167" s="17"/>
      <c r="AF167" s="17"/>
      <c r="AG167" s="17"/>
      <c r="AH167" s="17"/>
      <c r="AI167" s="17"/>
      <c r="AJ167" s="17"/>
    </row>
    <row r="168" spans="2:36" ht="14.25" customHeight="1" x14ac:dyDescent="0.2">
      <c r="B168" s="16"/>
      <c r="AC168" s="17"/>
      <c r="AD168" s="17"/>
      <c r="AE168" s="17"/>
      <c r="AF168" s="17"/>
      <c r="AG168" s="17"/>
      <c r="AH168" s="17"/>
      <c r="AI168" s="17"/>
      <c r="AJ168" s="17"/>
    </row>
    <row r="169" spans="2:36" ht="14.25" customHeight="1" x14ac:dyDescent="0.2">
      <c r="B169" s="16"/>
      <c r="AC169" s="17"/>
      <c r="AD169" s="17"/>
      <c r="AE169" s="17"/>
      <c r="AF169" s="17"/>
      <c r="AG169" s="17"/>
      <c r="AH169" s="17"/>
      <c r="AI169" s="17"/>
      <c r="AJ169" s="17"/>
    </row>
    <row r="170" spans="2:36" ht="14.25" customHeight="1" x14ac:dyDescent="0.2">
      <c r="B170" s="16"/>
      <c r="AC170" s="17"/>
      <c r="AD170" s="17"/>
      <c r="AE170" s="17"/>
      <c r="AF170" s="17"/>
      <c r="AG170" s="17"/>
      <c r="AH170" s="17"/>
      <c r="AI170" s="17"/>
      <c r="AJ170" s="17"/>
    </row>
    <row r="171" spans="2:36" ht="14.25" customHeight="1" x14ac:dyDescent="0.2">
      <c r="B171" s="16"/>
      <c r="AC171" s="17"/>
      <c r="AD171" s="17"/>
      <c r="AE171" s="17"/>
      <c r="AF171" s="17"/>
      <c r="AG171" s="17"/>
      <c r="AH171" s="17"/>
      <c r="AI171" s="17"/>
      <c r="AJ171" s="17"/>
    </row>
    <row r="172" spans="2:36" ht="14.25" customHeight="1" x14ac:dyDescent="0.2">
      <c r="B172" s="16"/>
      <c r="AC172" s="17"/>
      <c r="AD172" s="17"/>
      <c r="AE172" s="17"/>
      <c r="AF172" s="17"/>
      <c r="AG172" s="17"/>
      <c r="AH172" s="17"/>
      <c r="AI172" s="17"/>
      <c r="AJ172" s="17"/>
    </row>
    <row r="173" spans="2:36" ht="14.25" customHeight="1" x14ac:dyDescent="0.2">
      <c r="B173" s="16"/>
      <c r="AC173" s="17"/>
      <c r="AD173" s="17"/>
      <c r="AE173" s="17"/>
      <c r="AF173" s="17"/>
      <c r="AG173" s="17"/>
      <c r="AH173" s="17"/>
      <c r="AI173" s="17"/>
      <c r="AJ173" s="17"/>
    </row>
    <row r="174" spans="2:36" ht="14.25" customHeight="1" x14ac:dyDescent="0.2">
      <c r="B174" s="16"/>
      <c r="AC174" s="17"/>
      <c r="AD174" s="17"/>
      <c r="AE174" s="17"/>
      <c r="AF174" s="17"/>
      <c r="AG174" s="17"/>
      <c r="AH174" s="17"/>
      <c r="AI174" s="17"/>
      <c r="AJ174" s="17"/>
    </row>
    <row r="175" spans="2:36" ht="14.25" customHeight="1" x14ac:dyDescent="0.2">
      <c r="B175" s="16"/>
      <c r="AC175" s="17"/>
      <c r="AD175" s="17"/>
      <c r="AE175" s="17"/>
      <c r="AF175" s="17"/>
      <c r="AG175" s="17"/>
      <c r="AH175" s="17"/>
      <c r="AI175" s="17"/>
      <c r="AJ175" s="17"/>
    </row>
    <row r="176" spans="2:36" ht="14.25" customHeight="1" x14ac:dyDescent="0.2">
      <c r="B176" s="16"/>
      <c r="AC176" s="17"/>
      <c r="AD176" s="17"/>
      <c r="AE176" s="17"/>
      <c r="AF176" s="17"/>
      <c r="AG176" s="17"/>
      <c r="AH176" s="17"/>
      <c r="AI176" s="17"/>
      <c r="AJ176" s="17"/>
    </row>
    <row r="177" spans="2:36" ht="14.25" customHeight="1" x14ac:dyDescent="0.2">
      <c r="B177" s="16"/>
      <c r="AC177" s="17"/>
      <c r="AD177" s="17"/>
      <c r="AE177" s="17"/>
      <c r="AF177" s="17"/>
      <c r="AG177" s="17"/>
      <c r="AH177" s="17"/>
      <c r="AI177" s="17"/>
      <c r="AJ177" s="17"/>
    </row>
    <row r="178" spans="2:36" ht="14.25" customHeight="1" x14ac:dyDescent="0.2">
      <c r="B178" s="16"/>
      <c r="AC178" s="17"/>
      <c r="AD178" s="17"/>
      <c r="AE178" s="17"/>
      <c r="AF178" s="17"/>
      <c r="AG178" s="17"/>
      <c r="AH178" s="17"/>
      <c r="AI178" s="17"/>
      <c r="AJ178" s="17"/>
    </row>
    <row r="179" spans="2:36" ht="14.25" customHeight="1" x14ac:dyDescent="0.2">
      <c r="B179" s="16"/>
      <c r="AC179" s="17"/>
      <c r="AD179" s="17"/>
      <c r="AE179" s="17"/>
      <c r="AF179" s="17"/>
      <c r="AG179" s="17"/>
      <c r="AH179" s="17"/>
      <c r="AI179" s="17"/>
      <c r="AJ179" s="17"/>
    </row>
    <row r="180" spans="2:36" ht="14.25" customHeight="1" x14ac:dyDescent="0.2">
      <c r="B180" s="16"/>
      <c r="AC180" s="17"/>
      <c r="AD180" s="17"/>
      <c r="AE180" s="17"/>
      <c r="AF180" s="17"/>
      <c r="AG180" s="17"/>
      <c r="AH180" s="17"/>
      <c r="AI180" s="17"/>
      <c r="AJ180" s="17"/>
    </row>
    <row r="181" spans="2:36" ht="14.25" customHeight="1" x14ac:dyDescent="0.2">
      <c r="B181" s="16"/>
      <c r="AC181" s="17"/>
      <c r="AD181" s="17"/>
      <c r="AE181" s="17"/>
      <c r="AF181" s="17"/>
      <c r="AG181" s="17"/>
      <c r="AH181" s="17"/>
      <c r="AI181" s="17"/>
      <c r="AJ181" s="17"/>
    </row>
    <row r="182" spans="2:36" ht="14.25" customHeight="1" x14ac:dyDescent="0.2">
      <c r="B182" s="16"/>
      <c r="AC182" s="17"/>
      <c r="AD182" s="17"/>
      <c r="AE182" s="17"/>
      <c r="AF182" s="17"/>
      <c r="AG182" s="17"/>
      <c r="AH182" s="17"/>
      <c r="AI182" s="17"/>
      <c r="AJ182" s="17"/>
    </row>
    <row r="183" spans="2:36" ht="14.25" customHeight="1" x14ac:dyDescent="0.2">
      <c r="B183" s="16"/>
      <c r="AC183" s="17"/>
      <c r="AD183" s="17"/>
      <c r="AE183" s="17"/>
      <c r="AF183" s="17"/>
      <c r="AG183" s="17"/>
      <c r="AH183" s="17"/>
      <c r="AI183" s="17"/>
      <c r="AJ183" s="17"/>
    </row>
    <row r="184" spans="2:36" ht="14.25" customHeight="1" x14ac:dyDescent="0.2">
      <c r="B184" s="16"/>
      <c r="AC184" s="17"/>
      <c r="AD184" s="17"/>
      <c r="AE184" s="17"/>
      <c r="AF184" s="17"/>
      <c r="AG184" s="17"/>
      <c r="AH184" s="17"/>
      <c r="AI184" s="17"/>
      <c r="AJ184" s="17"/>
    </row>
    <row r="185" spans="2:36" ht="14.25" customHeight="1" x14ac:dyDescent="0.2">
      <c r="B185" s="16"/>
      <c r="AC185" s="17"/>
      <c r="AD185" s="17"/>
      <c r="AE185" s="17"/>
      <c r="AF185" s="17"/>
      <c r="AG185" s="17"/>
      <c r="AH185" s="17"/>
      <c r="AI185" s="17"/>
      <c r="AJ185" s="17"/>
    </row>
    <row r="186" spans="2:36" ht="14.25" customHeight="1" x14ac:dyDescent="0.2">
      <c r="B186" s="16"/>
      <c r="AC186" s="17"/>
      <c r="AD186" s="17"/>
      <c r="AE186" s="17"/>
      <c r="AF186" s="17"/>
      <c r="AG186" s="17"/>
      <c r="AH186" s="17"/>
      <c r="AI186" s="17"/>
      <c r="AJ186" s="17"/>
    </row>
    <row r="187" spans="2:36" ht="14.25" customHeight="1" x14ac:dyDescent="0.2">
      <c r="B187" s="16"/>
      <c r="AC187" s="17"/>
      <c r="AD187" s="17"/>
      <c r="AE187" s="17"/>
      <c r="AF187" s="17"/>
      <c r="AG187" s="17"/>
      <c r="AH187" s="17"/>
      <c r="AI187" s="17"/>
      <c r="AJ187" s="17"/>
    </row>
    <row r="188" spans="2:36" ht="14.25" customHeight="1" x14ac:dyDescent="0.2">
      <c r="B188" s="16"/>
      <c r="AC188" s="17"/>
      <c r="AD188" s="17"/>
      <c r="AE188" s="17"/>
      <c r="AF188" s="17"/>
      <c r="AG188" s="17"/>
      <c r="AH188" s="17"/>
      <c r="AI188" s="17"/>
      <c r="AJ188" s="17"/>
    </row>
    <row r="189" spans="2:36" ht="14.25" customHeight="1" x14ac:dyDescent="0.2">
      <c r="B189" s="16"/>
      <c r="AC189" s="17"/>
      <c r="AD189" s="17"/>
      <c r="AE189" s="17"/>
      <c r="AF189" s="17"/>
      <c r="AG189" s="17"/>
      <c r="AH189" s="17"/>
      <c r="AI189" s="17"/>
      <c r="AJ189" s="17"/>
    </row>
    <row r="190" spans="2:36" ht="14.25" customHeight="1" x14ac:dyDescent="0.2">
      <c r="B190" s="16"/>
      <c r="AC190" s="17"/>
      <c r="AD190" s="17"/>
      <c r="AE190" s="17"/>
      <c r="AF190" s="17"/>
      <c r="AG190" s="17"/>
      <c r="AH190" s="17"/>
      <c r="AI190" s="17"/>
      <c r="AJ190" s="17"/>
    </row>
    <row r="191" spans="2:36" ht="14.25" customHeight="1" x14ac:dyDescent="0.2">
      <c r="B191" s="16"/>
      <c r="AC191" s="17"/>
      <c r="AD191" s="17"/>
      <c r="AE191" s="17"/>
      <c r="AF191" s="17"/>
      <c r="AG191" s="17"/>
      <c r="AH191" s="17"/>
      <c r="AI191" s="17"/>
      <c r="AJ191" s="17"/>
    </row>
    <row r="192" spans="2:36" ht="14.25" customHeight="1" x14ac:dyDescent="0.2">
      <c r="B192" s="16"/>
      <c r="AC192" s="17"/>
      <c r="AD192" s="17"/>
      <c r="AE192" s="17"/>
      <c r="AF192" s="17"/>
      <c r="AG192" s="17"/>
      <c r="AH192" s="17"/>
      <c r="AI192" s="17"/>
      <c r="AJ192" s="17"/>
    </row>
    <row r="193" spans="2:36" ht="14.25" customHeight="1" x14ac:dyDescent="0.2">
      <c r="B193" s="16"/>
      <c r="AC193" s="17"/>
      <c r="AD193" s="17"/>
      <c r="AE193" s="17"/>
      <c r="AF193" s="17"/>
      <c r="AG193" s="17"/>
      <c r="AH193" s="17"/>
      <c r="AI193" s="17"/>
      <c r="AJ193" s="17"/>
    </row>
    <row r="194" spans="2:36" ht="14.25" customHeight="1" x14ac:dyDescent="0.2">
      <c r="B194" s="16"/>
      <c r="AC194" s="17"/>
      <c r="AD194" s="17"/>
      <c r="AE194" s="17"/>
      <c r="AF194" s="17"/>
      <c r="AG194" s="17"/>
      <c r="AH194" s="17"/>
      <c r="AI194" s="17"/>
      <c r="AJ194" s="17"/>
    </row>
    <row r="195" spans="2:36" ht="14.25" customHeight="1" x14ac:dyDescent="0.2">
      <c r="B195" s="16"/>
      <c r="AC195" s="17"/>
      <c r="AD195" s="17"/>
      <c r="AE195" s="17"/>
      <c r="AF195" s="17"/>
      <c r="AG195" s="17"/>
      <c r="AH195" s="17"/>
      <c r="AI195" s="17"/>
      <c r="AJ195" s="17"/>
    </row>
    <row r="196" spans="2:36" ht="14.25" customHeight="1" x14ac:dyDescent="0.2">
      <c r="B196" s="16"/>
      <c r="AC196" s="17"/>
      <c r="AD196" s="17"/>
      <c r="AE196" s="17"/>
      <c r="AF196" s="17"/>
      <c r="AG196" s="17"/>
      <c r="AH196" s="17"/>
      <c r="AI196" s="17"/>
      <c r="AJ196" s="17"/>
    </row>
    <row r="197" spans="2:36" ht="14.25" customHeight="1" x14ac:dyDescent="0.2">
      <c r="B197" s="16"/>
      <c r="AC197" s="17"/>
      <c r="AD197" s="17"/>
      <c r="AE197" s="17"/>
      <c r="AF197" s="17"/>
      <c r="AG197" s="17"/>
      <c r="AH197" s="17"/>
      <c r="AI197" s="17"/>
      <c r="AJ197" s="17"/>
    </row>
    <row r="198" spans="2:36" ht="14.25" customHeight="1" x14ac:dyDescent="0.2">
      <c r="B198" s="16"/>
      <c r="AC198" s="17"/>
      <c r="AD198" s="17"/>
      <c r="AE198" s="17"/>
      <c r="AF198" s="17"/>
      <c r="AG198" s="17"/>
      <c r="AH198" s="17"/>
      <c r="AI198" s="17"/>
      <c r="AJ198" s="17"/>
    </row>
    <row r="199" spans="2:36" ht="14.25" customHeight="1" x14ac:dyDescent="0.2">
      <c r="B199" s="16"/>
      <c r="AC199" s="17"/>
      <c r="AD199" s="17"/>
      <c r="AE199" s="17"/>
      <c r="AF199" s="17"/>
      <c r="AG199" s="17"/>
      <c r="AH199" s="17"/>
      <c r="AI199" s="17"/>
      <c r="AJ199" s="17"/>
    </row>
    <row r="200" spans="2:36" ht="14.25" customHeight="1" x14ac:dyDescent="0.2">
      <c r="B200" s="16"/>
      <c r="AC200" s="17"/>
      <c r="AD200" s="17"/>
      <c r="AE200" s="17"/>
      <c r="AF200" s="17"/>
      <c r="AG200" s="17"/>
      <c r="AH200" s="17"/>
      <c r="AI200" s="17"/>
      <c r="AJ200" s="17"/>
    </row>
    <row r="201" spans="2:36" ht="14.25" customHeight="1" x14ac:dyDescent="0.2">
      <c r="B201" s="16"/>
      <c r="AC201" s="17"/>
      <c r="AD201" s="17"/>
      <c r="AE201" s="17"/>
      <c r="AF201" s="17"/>
      <c r="AG201" s="17"/>
      <c r="AH201" s="17"/>
      <c r="AI201" s="17"/>
      <c r="AJ201" s="17"/>
    </row>
    <row r="202" spans="2:36" ht="14.25" customHeight="1" x14ac:dyDescent="0.2">
      <c r="B202" s="16"/>
      <c r="AC202" s="17"/>
      <c r="AD202" s="17"/>
      <c r="AE202" s="17"/>
      <c r="AF202" s="17"/>
      <c r="AG202" s="17"/>
      <c r="AH202" s="17"/>
      <c r="AI202" s="17"/>
      <c r="AJ202" s="17"/>
    </row>
    <row r="203" spans="2:36" ht="14.25" customHeight="1" x14ac:dyDescent="0.2">
      <c r="B203" s="16"/>
      <c r="AC203" s="17"/>
      <c r="AD203" s="17"/>
      <c r="AE203" s="17"/>
      <c r="AF203" s="17"/>
      <c r="AG203" s="17"/>
      <c r="AH203" s="17"/>
      <c r="AI203" s="17"/>
      <c r="AJ203" s="17"/>
    </row>
    <row r="204" spans="2:36" ht="14.25" customHeight="1" x14ac:dyDescent="0.2">
      <c r="B204" s="16"/>
      <c r="AC204" s="17"/>
      <c r="AD204" s="17"/>
      <c r="AE204" s="17"/>
      <c r="AF204" s="17"/>
      <c r="AG204" s="17"/>
      <c r="AH204" s="17"/>
      <c r="AI204" s="17"/>
      <c r="AJ204" s="17"/>
    </row>
    <row r="205" spans="2:36" ht="14.25" customHeight="1" x14ac:dyDescent="0.2">
      <c r="B205" s="16"/>
      <c r="AC205" s="17"/>
      <c r="AD205" s="17"/>
      <c r="AE205" s="17"/>
      <c r="AF205" s="17"/>
      <c r="AG205" s="17"/>
      <c r="AH205" s="17"/>
      <c r="AI205" s="17"/>
      <c r="AJ205" s="17"/>
    </row>
    <row r="206" spans="2:36" ht="14.25" customHeight="1" x14ac:dyDescent="0.2">
      <c r="B206" s="16"/>
      <c r="AC206" s="17"/>
      <c r="AD206" s="17"/>
      <c r="AE206" s="17"/>
      <c r="AF206" s="17"/>
      <c r="AG206" s="17"/>
      <c r="AH206" s="17"/>
      <c r="AI206" s="17"/>
      <c r="AJ206" s="17"/>
    </row>
    <row r="207" spans="2:36" ht="14.25" customHeight="1" x14ac:dyDescent="0.2">
      <c r="B207" s="16"/>
      <c r="AC207" s="17"/>
      <c r="AD207" s="17"/>
      <c r="AE207" s="17"/>
      <c r="AF207" s="17"/>
      <c r="AG207" s="17"/>
      <c r="AH207" s="17"/>
      <c r="AI207" s="17"/>
      <c r="AJ207" s="17"/>
    </row>
    <row r="208" spans="2:36" ht="14.25" customHeight="1" x14ac:dyDescent="0.2">
      <c r="B208" s="16"/>
      <c r="AC208" s="17"/>
      <c r="AD208" s="17"/>
      <c r="AE208" s="17"/>
      <c r="AF208" s="17"/>
      <c r="AG208" s="17"/>
      <c r="AH208" s="17"/>
      <c r="AI208" s="17"/>
      <c r="AJ208" s="17"/>
    </row>
    <row r="209" spans="2:36" ht="14.25" customHeight="1" x14ac:dyDescent="0.2">
      <c r="B209" s="16"/>
      <c r="AC209" s="17"/>
      <c r="AD209" s="17"/>
      <c r="AE209" s="17"/>
      <c r="AF209" s="17"/>
      <c r="AG209" s="17"/>
      <c r="AH209" s="17"/>
      <c r="AI209" s="17"/>
      <c r="AJ209" s="17"/>
    </row>
    <row r="210" spans="2:36" ht="14.25" customHeight="1" x14ac:dyDescent="0.2">
      <c r="B210" s="16"/>
      <c r="AC210" s="17"/>
      <c r="AD210" s="17"/>
      <c r="AE210" s="17"/>
      <c r="AF210" s="17"/>
      <c r="AG210" s="17"/>
      <c r="AH210" s="17"/>
      <c r="AI210" s="17"/>
      <c r="AJ210" s="17"/>
    </row>
    <row r="211" spans="2:36" ht="14.25" customHeight="1" x14ac:dyDescent="0.2">
      <c r="B211" s="16"/>
      <c r="AC211" s="17"/>
      <c r="AD211" s="17"/>
      <c r="AE211" s="17"/>
      <c r="AF211" s="17"/>
      <c r="AG211" s="17"/>
      <c r="AH211" s="17"/>
      <c r="AI211" s="17"/>
      <c r="AJ211" s="17"/>
    </row>
    <row r="212" spans="2:36" ht="14.25" customHeight="1" x14ac:dyDescent="0.2">
      <c r="B212" s="16"/>
      <c r="AC212" s="17"/>
      <c r="AD212" s="17"/>
      <c r="AE212" s="17"/>
      <c r="AF212" s="17"/>
      <c r="AG212" s="17"/>
      <c r="AH212" s="17"/>
      <c r="AI212" s="17"/>
      <c r="AJ212" s="17"/>
    </row>
    <row r="213" spans="2:36" ht="14.25" customHeight="1" x14ac:dyDescent="0.2">
      <c r="B213" s="16"/>
      <c r="AC213" s="17"/>
      <c r="AD213" s="17"/>
      <c r="AE213" s="17"/>
      <c r="AF213" s="17"/>
      <c r="AG213" s="17"/>
      <c r="AH213" s="17"/>
      <c r="AI213" s="17"/>
      <c r="AJ213" s="17"/>
    </row>
    <row r="214" spans="2:36" ht="14.25" customHeight="1" x14ac:dyDescent="0.2">
      <c r="B214" s="16"/>
      <c r="AC214" s="17"/>
      <c r="AD214" s="17"/>
      <c r="AE214" s="17"/>
      <c r="AF214" s="17"/>
      <c r="AG214" s="17"/>
      <c r="AH214" s="17"/>
      <c r="AI214" s="17"/>
      <c r="AJ214" s="17"/>
    </row>
    <row r="215" spans="2:36" ht="14.25" customHeight="1" x14ac:dyDescent="0.2">
      <c r="B215" s="16"/>
      <c r="AC215" s="17"/>
      <c r="AD215" s="17"/>
      <c r="AE215" s="17"/>
      <c r="AF215" s="17"/>
      <c r="AG215" s="17"/>
      <c r="AH215" s="17"/>
      <c r="AI215" s="17"/>
      <c r="AJ215" s="17"/>
    </row>
    <row r="216" spans="2:36" ht="14.25" customHeight="1" x14ac:dyDescent="0.2">
      <c r="B216" s="16"/>
      <c r="AC216" s="17"/>
      <c r="AD216" s="17"/>
      <c r="AE216" s="17"/>
      <c r="AF216" s="17"/>
      <c r="AG216" s="17"/>
      <c r="AH216" s="17"/>
      <c r="AI216" s="17"/>
      <c r="AJ216" s="17"/>
    </row>
    <row r="217" spans="2:36" ht="14.25" customHeight="1" x14ac:dyDescent="0.2">
      <c r="B217" s="16"/>
      <c r="AC217" s="17"/>
      <c r="AD217" s="17"/>
      <c r="AE217" s="17"/>
      <c r="AF217" s="17"/>
      <c r="AG217" s="17"/>
      <c r="AH217" s="17"/>
      <c r="AI217" s="17"/>
      <c r="AJ217" s="17"/>
    </row>
    <row r="218" spans="2:36" ht="14.25" customHeight="1" x14ac:dyDescent="0.2">
      <c r="B218" s="16"/>
      <c r="AC218" s="17"/>
      <c r="AD218" s="17"/>
      <c r="AE218" s="17"/>
      <c r="AF218" s="17"/>
      <c r="AG218" s="17"/>
      <c r="AH218" s="17"/>
      <c r="AI218" s="17"/>
      <c r="AJ218" s="17"/>
    </row>
    <row r="219" spans="2:36" ht="14.25" customHeight="1" x14ac:dyDescent="0.2">
      <c r="B219" s="16"/>
      <c r="AC219" s="17"/>
      <c r="AD219" s="17"/>
      <c r="AE219" s="17"/>
      <c r="AF219" s="17"/>
      <c r="AG219" s="17"/>
      <c r="AH219" s="17"/>
      <c r="AI219" s="17"/>
      <c r="AJ219" s="17"/>
    </row>
    <row r="220" spans="2:36" ht="14.25" customHeight="1" x14ac:dyDescent="0.2">
      <c r="B220" s="16"/>
      <c r="AC220" s="17"/>
      <c r="AD220" s="17"/>
      <c r="AE220" s="17"/>
      <c r="AF220" s="17"/>
      <c r="AG220" s="17"/>
      <c r="AH220" s="17"/>
      <c r="AI220" s="17"/>
      <c r="AJ220" s="17"/>
    </row>
    <row r="221" spans="2:36" ht="14.25" customHeight="1" x14ac:dyDescent="0.2">
      <c r="B221" s="16"/>
      <c r="AC221" s="17"/>
      <c r="AD221" s="17"/>
      <c r="AE221" s="17"/>
      <c r="AF221" s="17"/>
      <c r="AG221" s="17"/>
      <c r="AH221" s="17"/>
      <c r="AI221" s="17"/>
      <c r="AJ221" s="17"/>
    </row>
    <row r="222" spans="2:36" ht="14.25" customHeight="1" x14ac:dyDescent="0.2">
      <c r="B222" s="16"/>
      <c r="AC222" s="17"/>
      <c r="AD222" s="17"/>
      <c r="AE222" s="17"/>
      <c r="AF222" s="17"/>
      <c r="AG222" s="17"/>
      <c r="AH222" s="17"/>
      <c r="AI222" s="17"/>
      <c r="AJ222" s="17"/>
    </row>
    <row r="223" spans="2:36" ht="14.25" customHeight="1" x14ac:dyDescent="0.2">
      <c r="B223" s="16"/>
      <c r="AC223" s="17"/>
      <c r="AD223" s="17"/>
      <c r="AE223" s="17"/>
      <c r="AF223" s="17"/>
      <c r="AG223" s="17"/>
      <c r="AH223" s="17"/>
      <c r="AI223" s="17"/>
      <c r="AJ223" s="17"/>
    </row>
    <row r="224" spans="2:36" ht="14.25" customHeight="1" x14ac:dyDescent="0.2">
      <c r="B224" s="16"/>
      <c r="AC224" s="17"/>
      <c r="AD224" s="17"/>
      <c r="AE224" s="17"/>
      <c r="AF224" s="17"/>
      <c r="AG224" s="17"/>
      <c r="AH224" s="17"/>
      <c r="AI224" s="17"/>
      <c r="AJ224" s="17"/>
    </row>
    <row r="225" spans="2:36" ht="14.25" customHeight="1" x14ac:dyDescent="0.2">
      <c r="B225" s="16"/>
      <c r="AC225" s="17"/>
      <c r="AD225" s="17"/>
      <c r="AE225" s="17"/>
      <c r="AF225" s="17"/>
      <c r="AG225" s="17"/>
      <c r="AH225" s="17"/>
      <c r="AI225" s="17"/>
      <c r="AJ225" s="17"/>
    </row>
    <row r="226" spans="2:36" ht="14.25" customHeight="1" x14ac:dyDescent="0.2">
      <c r="B226" s="16"/>
      <c r="AC226" s="17"/>
      <c r="AD226" s="17"/>
      <c r="AE226" s="17"/>
      <c r="AF226" s="17"/>
      <c r="AG226" s="17"/>
      <c r="AH226" s="17"/>
      <c r="AI226" s="17"/>
      <c r="AJ226" s="17"/>
    </row>
    <row r="227" spans="2:36" ht="14.25" customHeight="1" x14ac:dyDescent="0.2">
      <c r="B227" s="16"/>
      <c r="AC227" s="17"/>
      <c r="AD227" s="17"/>
      <c r="AE227" s="17"/>
      <c r="AF227" s="17"/>
      <c r="AG227" s="17"/>
      <c r="AH227" s="17"/>
      <c r="AI227" s="17"/>
      <c r="AJ227" s="17"/>
    </row>
    <row r="228" spans="2:36" ht="14.25" customHeight="1" x14ac:dyDescent="0.2">
      <c r="B228" s="16"/>
      <c r="AC228" s="17"/>
      <c r="AD228" s="17"/>
      <c r="AE228" s="17"/>
      <c r="AF228" s="17"/>
      <c r="AG228" s="17"/>
      <c r="AH228" s="17"/>
      <c r="AI228" s="17"/>
      <c r="AJ228" s="17"/>
    </row>
    <row r="229" spans="2:36" ht="14.25" customHeight="1" x14ac:dyDescent="0.2">
      <c r="B229" s="16"/>
      <c r="AC229" s="17"/>
      <c r="AD229" s="17"/>
      <c r="AE229" s="17"/>
      <c r="AF229" s="17"/>
      <c r="AG229" s="17"/>
      <c r="AH229" s="17"/>
      <c r="AI229" s="17"/>
      <c r="AJ229" s="17"/>
    </row>
    <row r="230" spans="2:36" ht="14.25" customHeight="1" x14ac:dyDescent="0.2">
      <c r="B230" s="16"/>
      <c r="AC230" s="17"/>
      <c r="AD230" s="17"/>
      <c r="AE230" s="17"/>
      <c r="AF230" s="17"/>
      <c r="AG230" s="17"/>
      <c r="AH230" s="17"/>
      <c r="AI230" s="17"/>
      <c r="AJ230" s="17"/>
    </row>
    <row r="231" spans="2:36" ht="14.25" customHeight="1" x14ac:dyDescent="0.2">
      <c r="B231" s="16"/>
      <c r="AC231" s="17"/>
      <c r="AD231" s="17"/>
      <c r="AE231" s="17"/>
      <c r="AF231" s="17"/>
      <c r="AG231" s="17"/>
      <c r="AH231" s="17"/>
      <c r="AI231" s="17"/>
      <c r="AJ231" s="17"/>
    </row>
    <row r="232" spans="2:36" ht="14.25" customHeight="1" x14ac:dyDescent="0.2">
      <c r="B232" s="16"/>
      <c r="AC232" s="17"/>
      <c r="AD232" s="17"/>
      <c r="AE232" s="17"/>
      <c r="AF232" s="17"/>
      <c r="AG232" s="17"/>
      <c r="AH232" s="17"/>
      <c r="AI232" s="17"/>
      <c r="AJ232" s="17"/>
    </row>
    <row r="233" spans="2:36" ht="14.25" customHeight="1" x14ac:dyDescent="0.2">
      <c r="B233" s="16"/>
      <c r="AC233" s="17"/>
      <c r="AD233" s="17"/>
      <c r="AE233" s="17"/>
      <c r="AF233" s="17"/>
      <c r="AG233" s="17"/>
      <c r="AH233" s="17"/>
      <c r="AI233" s="17"/>
      <c r="AJ233" s="17"/>
    </row>
    <row r="234" spans="2:36" ht="14.25" customHeight="1" x14ac:dyDescent="0.2">
      <c r="B234" s="16"/>
      <c r="AC234" s="17"/>
      <c r="AD234" s="17"/>
      <c r="AE234" s="17"/>
      <c r="AF234" s="17"/>
      <c r="AG234" s="17"/>
      <c r="AH234" s="17"/>
      <c r="AI234" s="17"/>
      <c r="AJ234" s="17"/>
    </row>
    <row r="235" spans="2:36" ht="14.25" customHeight="1" x14ac:dyDescent="0.2">
      <c r="B235" s="16"/>
      <c r="AC235" s="17"/>
      <c r="AD235" s="17"/>
      <c r="AE235" s="17"/>
      <c r="AF235" s="17"/>
      <c r="AG235" s="17"/>
      <c r="AH235" s="17"/>
      <c r="AI235" s="17"/>
      <c r="AJ235" s="17"/>
    </row>
    <row r="236" spans="2:36" ht="14.25" customHeight="1" x14ac:dyDescent="0.2">
      <c r="B236" s="16"/>
      <c r="AC236" s="17"/>
      <c r="AD236" s="17"/>
      <c r="AE236" s="17"/>
      <c r="AF236" s="17"/>
      <c r="AG236" s="17"/>
      <c r="AH236" s="17"/>
      <c r="AI236" s="17"/>
      <c r="AJ236" s="17"/>
    </row>
    <row r="237" spans="2:36" ht="14.25" customHeight="1" x14ac:dyDescent="0.2">
      <c r="B237" s="16"/>
      <c r="AC237" s="17"/>
      <c r="AD237" s="17"/>
      <c r="AE237" s="17"/>
      <c r="AF237" s="17"/>
      <c r="AG237" s="17"/>
      <c r="AH237" s="17"/>
      <c r="AI237" s="17"/>
      <c r="AJ237" s="17"/>
    </row>
    <row r="238" spans="2:36" ht="14.25" customHeight="1" x14ac:dyDescent="0.2">
      <c r="B238" s="16"/>
      <c r="AC238" s="17"/>
      <c r="AD238" s="17"/>
      <c r="AE238" s="17"/>
      <c r="AF238" s="17"/>
      <c r="AG238" s="17"/>
      <c r="AH238" s="17"/>
      <c r="AI238" s="17"/>
      <c r="AJ238" s="17"/>
    </row>
    <row r="239" spans="2:36" ht="14.25" customHeight="1" x14ac:dyDescent="0.2">
      <c r="B239" s="16"/>
      <c r="AC239" s="17"/>
      <c r="AD239" s="17"/>
      <c r="AE239" s="17"/>
      <c r="AF239" s="17"/>
      <c r="AG239" s="17"/>
      <c r="AH239" s="17"/>
      <c r="AI239" s="17"/>
      <c r="AJ239" s="17"/>
    </row>
    <row r="240" spans="2:36" ht="14.25" customHeight="1" x14ac:dyDescent="0.2">
      <c r="B240" s="16"/>
      <c r="AC240" s="17"/>
      <c r="AD240" s="17"/>
      <c r="AE240" s="17"/>
      <c r="AF240" s="17"/>
      <c r="AG240" s="17"/>
      <c r="AH240" s="17"/>
      <c r="AI240" s="17"/>
      <c r="AJ240" s="17"/>
    </row>
    <row r="241" spans="2:36" ht="14.25" customHeight="1" x14ac:dyDescent="0.2">
      <c r="B241" s="16"/>
      <c r="AC241" s="17"/>
      <c r="AD241" s="17"/>
      <c r="AE241" s="17"/>
      <c r="AF241" s="17"/>
      <c r="AG241" s="17"/>
      <c r="AH241" s="17"/>
      <c r="AI241" s="17"/>
      <c r="AJ241" s="17"/>
    </row>
    <row r="242" spans="2:36" ht="14.25" customHeight="1" x14ac:dyDescent="0.2">
      <c r="B242" s="16"/>
      <c r="AC242" s="17"/>
      <c r="AD242" s="17"/>
      <c r="AE242" s="17"/>
      <c r="AF242" s="17"/>
      <c r="AG242" s="17"/>
      <c r="AH242" s="17"/>
      <c r="AI242" s="17"/>
      <c r="AJ242" s="17"/>
    </row>
    <row r="243" spans="2:36" ht="14.25" customHeight="1" x14ac:dyDescent="0.2">
      <c r="B243" s="16"/>
      <c r="AC243" s="17"/>
      <c r="AD243" s="17"/>
      <c r="AE243" s="17"/>
      <c r="AF243" s="17"/>
      <c r="AG243" s="17"/>
      <c r="AH243" s="17"/>
      <c r="AI243" s="17"/>
      <c r="AJ243" s="17"/>
    </row>
    <row r="244" spans="2:36" ht="14.25" customHeight="1" x14ac:dyDescent="0.2">
      <c r="B244" s="16"/>
      <c r="AC244" s="17"/>
      <c r="AD244" s="17"/>
      <c r="AE244" s="17"/>
      <c r="AF244" s="17"/>
      <c r="AG244" s="17"/>
      <c r="AH244" s="17"/>
      <c r="AI244" s="17"/>
      <c r="AJ244" s="17"/>
    </row>
    <row r="245" spans="2:36" ht="14.25" customHeight="1" x14ac:dyDescent="0.2">
      <c r="B245" s="16"/>
      <c r="AC245" s="17"/>
      <c r="AD245" s="17"/>
      <c r="AE245" s="17"/>
      <c r="AF245" s="17"/>
      <c r="AG245" s="17"/>
      <c r="AH245" s="17"/>
      <c r="AI245" s="17"/>
      <c r="AJ245" s="17"/>
    </row>
    <row r="246" spans="2:36" ht="14.25" customHeight="1" x14ac:dyDescent="0.2">
      <c r="B246" s="16"/>
      <c r="AC246" s="17"/>
      <c r="AD246" s="17"/>
      <c r="AE246" s="17"/>
      <c r="AF246" s="17"/>
      <c r="AG246" s="17"/>
      <c r="AH246" s="17"/>
      <c r="AI246" s="17"/>
      <c r="AJ246" s="17"/>
    </row>
    <row r="247" spans="2:36" ht="14.25" customHeight="1" x14ac:dyDescent="0.2">
      <c r="B247" s="16"/>
      <c r="AC247" s="17"/>
      <c r="AD247" s="17"/>
      <c r="AE247" s="17"/>
      <c r="AF247" s="17"/>
      <c r="AG247" s="17"/>
      <c r="AH247" s="17"/>
      <c r="AI247" s="17"/>
      <c r="AJ247" s="17"/>
    </row>
    <row r="248" spans="2:36" ht="14.25" customHeight="1" x14ac:dyDescent="0.2">
      <c r="B248" s="16"/>
      <c r="AC248" s="17"/>
      <c r="AD248" s="17"/>
      <c r="AE248" s="17"/>
      <c r="AF248" s="17"/>
      <c r="AG248" s="17"/>
      <c r="AH248" s="17"/>
      <c r="AI248" s="17"/>
      <c r="AJ248" s="17"/>
    </row>
    <row r="249" spans="2:36" ht="14.25" customHeight="1" x14ac:dyDescent="0.2">
      <c r="B249" s="16"/>
      <c r="AC249" s="17"/>
      <c r="AD249" s="17"/>
      <c r="AE249" s="17"/>
      <c r="AF249" s="17"/>
      <c r="AG249" s="17"/>
      <c r="AH249" s="17"/>
      <c r="AI249" s="17"/>
      <c r="AJ249" s="17"/>
    </row>
    <row r="250" spans="2:36" ht="14.25" customHeight="1" x14ac:dyDescent="0.2">
      <c r="B250" s="16"/>
      <c r="AC250" s="17"/>
      <c r="AD250" s="17"/>
      <c r="AE250" s="17"/>
      <c r="AF250" s="17"/>
      <c r="AG250" s="17"/>
      <c r="AH250" s="17"/>
      <c r="AI250" s="17"/>
      <c r="AJ250" s="17"/>
    </row>
    <row r="251" spans="2:36" ht="14.25" customHeight="1" x14ac:dyDescent="0.2">
      <c r="B251" s="16"/>
      <c r="AC251" s="17"/>
      <c r="AD251" s="17"/>
      <c r="AE251" s="17"/>
      <c r="AF251" s="17"/>
      <c r="AG251" s="17"/>
      <c r="AH251" s="17"/>
      <c r="AI251" s="17"/>
      <c r="AJ251" s="17"/>
    </row>
    <row r="252" spans="2:36" ht="14.25" customHeight="1" x14ac:dyDescent="0.2">
      <c r="B252" s="16"/>
      <c r="AC252" s="17"/>
      <c r="AD252" s="17"/>
      <c r="AE252" s="17"/>
      <c r="AF252" s="17"/>
      <c r="AG252" s="17"/>
      <c r="AH252" s="17"/>
      <c r="AI252" s="17"/>
      <c r="AJ252" s="17"/>
    </row>
    <row r="253" spans="2:36" ht="14.25" customHeight="1" x14ac:dyDescent="0.2">
      <c r="B253" s="16"/>
      <c r="AC253" s="17"/>
      <c r="AD253" s="17"/>
      <c r="AE253" s="17"/>
      <c r="AF253" s="17"/>
      <c r="AG253" s="17"/>
      <c r="AH253" s="17"/>
      <c r="AI253" s="17"/>
      <c r="AJ253" s="17"/>
    </row>
    <row r="254" spans="2:36" ht="14.25" customHeight="1" x14ac:dyDescent="0.2">
      <c r="B254" s="16"/>
      <c r="AC254" s="17"/>
      <c r="AD254" s="17"/>
      <c r="AE254" s="17"/>
      <c r="AF254" s="17"/>
      <c r="AG254" s="17"/>
      <c r="AH254" s="17"/>
      <c r="AI254" s="17"/>
      <c r="AJ254" s="17"/>
    </row>
    <row r="255" spans="2:36" ht="14.25" customHeight="1" x14ac:dyDescent="0.2">
      <c r="B255" s="16"/>
      <c r="AC255" s="17"/>
      <c r="AD255" s="17"/>
      <c r="AE255" s="17"/>
      <c r="AF255" s="17"/>
      <c r="AG255" s="17"/>
      <c r="AH255" s="17"/>
      <c r="AI255" s="17"/>
      <c r="AJ255" s="17"/>
    </row>
    <row r="256" spans="2:36" ht="14.25" customHeight="1" x14ac:dyDescent="0.2">
      <c r="B256" s="16"/>
      <c r="AC256" s="17"/>
      <c r="AD256" s="17"/>
      <c r="AE256" s="17"/>
      <c r="AF256" s="17"/>
      <c r="AG256" s="17"/>
      <c r="AH256" s="17"/>
      <c r="AI256" s="17"/>
      <c r="AJ256" s="17"/>
    </row>
    <row r="257" spans="2:36" ht="14.25" customHeight="1" x14ac:dyDescent="0.2">
      <c r="B257" s="16"/>
      <c r="AC257" s="17"/>
      <c r="AD257" s="17"/>
      <c r="AE257" s="17"/>
      <c r="AF257" s="17"/>
      <c r="AG257" s="17"/>
      <c r="AH257" s="17"/>
      <c r="AI257" s="17"/>
      <c r="AJ257" s="17"/>
    </row>
    <row r="258" spans="2:36" ht="14.25" customHeight="1" x14ac:dyDescent="0.2">
      <c r="B258" s="16"/>
      <c r="AC258" s="17"/>
      <c r="AD258" s="17"/>
      <c r="AE258" s="17"/>
      <c r="AF258" s="17"/>
      <c r="AG258" s="17"/>
      <c r="AH258" s="17"/>
      <c r="AI258" s="17"/>
      <c r="AJ258" s="17"/>
    </row>
    <row r="259" spans="2:36" ht="14.25" customHeight="1" x14ac:dyDescent="0.2">
      <c r="B259" s="16"/>
      <c r="AC259" s="17"/>
      <c r="AD259" s="17"/>
      <c r="AE259" s="17"/>
      <c r="AF259" s="17"/>
      <c r="AG259" s="17"/>
      <c r="AH259" s="17"/>
      <c r="AI259" s="17"/>
      <c r="AJ259" s="17"/>
    </row>
    <row r="260" spans="2:36" ht="14.25" customHeight="1" x14ac:dyDescent="0.2">
      <c r="B260" s="16"/>
      <c r="AC260" s="17"/>
      <c r="AD260" s="17"/>
      <c r="AE260" s="17"/>
      <c r="AF260" s="17"/>
      <c r="AG260" s="17"/>
      <c r="AH260" s="17"/>
      <c r="AI260" s="17"/>
      <c r="AJ260" s="17"/>
    </row>
    <row r="261" spans="2:36" ht="14.25" customHeight="1" x14ac:dyDescent="0.2">
      <c r="B261" s="16"/>
      <c r="AC261" s="17"/>
      <c r="AD261" s="17"/>
      <c r="AE261" s="17"/>
      <c r="AF261" s="17"/>
      <c r="AG261" s="17"/>
      <c r="AH261" s="17"/>
      <c r="AI261" s="17"/>
      <c r="AJ261" s="17"/>
    </row>
    <row r="262" spans="2:36" ht="14.25" customHeight="1" x14ac:dyDescent="0.2">
      <c r="B262" s="16"/>
      <c r="AC262" s="17"/>
      <c r="AD262" s="17"/>
      <c r="AE262" s="17"/>
      <c r="AF262" s="17"/>
      <c r="AG262" s="17"/>
      <c r="AH262" s="17"/>
      <c r="AI262" s="17"/>
      <c r="AJ262" s="17"/>
    </row>
    <row r="263" spans="2:36" ht="14.25" customHeight="1" x14ac:dyDescent="0.2">
      <c r="B263" s="16"/>
      <c r="AC263" s="17"/>
      <c r="AD263" s="17"/>
      <c r="AE263" s="17"/>
      <c r="AF263" s="17"/>
      <c r="AG263" s="17"/>
      <c r="AH263" s="17"/>
      <c r="AI263" s="17"/>
      <c r="AJ263" s="17"/>
    </row>
    <row r="264" spans="2:36" ht="14.25" customHeight="1" x14ac:dyDescent="0.2">
      <c r="B264" s="16"/>
      <c r="AC264" s="17"/>
      <c r="AD264" s="17"/>
      <c r="AE264" s="17"/>
      <c r="AF264" s="17"/>
      <c r="AG264" s="17"/>
      <c r="AH264" s="17"/>
      <c r="AI264" s="17"/>
      <c r="AJ264" s="17"/>
    </row>
    <row r="265" spans="2:36" ht="14.25" customHeight="1" x14ac:dyDescent="0.2">
      <c r="B265" s="16"/>
      <c r="AC265" s="17"/>
      <c r="AD265" s="17"/>
      <c r="AE265" s="17"/>
      <c r="AF265" s="17"/>
      <c r="AG265" s="17"/>
      <c r="AH265" s="17"/>
      <c r="AI265" s="17"/>
      <c r="AJ265" s="17"/>
    </row>
    <row r="266" spans="2:36" ht="14.25" customHeight="1" x14ac:dyDescent="0.2">
      <c r="B266" s="16"/>
      <c r="AC266" s="17"/>
      <c r="AD266" s="17"/>
      <c r="AE266" s="17"/>
      <c r="AF266" s="17"/>
      <c r="AG266" s="17"/>
      <c r="AH266" s="17"/>
      <c r="AI266" s="17"/>
      <c r="AJ266" s="17"/>
    </row>
    <row r="267" spans="2:36" ht="14.25" customHeight="1" x14ac:dyDescent="0.2">
      <c r="B267" s="16"/>
      <c r="AC267" s="17"/>
      <c r="AD267" s="17"/>
      <c r="AE267" s="17"/>
      <c r="AF267" s="17"/>
      <c r="AG267" s="17"/>
      <c r="AH267" s="17"/>
      <c r="AI267" s="17"/>
      <c r="AJ267" s="17"/>
    </row>
    <row r="268" spans="2:36" ht="14.25" customHeight="1" x14ac:dyDescent="0.2">
      <c r="B268" s="16"/>
      <c r="AC268" s="17"/>
      <c r="AD268" s="17"/>
      <c r="AE268" s="17"/>
      <c r="AF268" s="17"/>
      <c r="AG268" s="17"/>
      <c r="AH268" s="17"/>
      <c r="AI268" s="17"/>
      <c r="AJ268" s="17"/>
    </row>
    <row r="269" spans="2:36" ht="14.25" customHeight="1" x14ac:dyDescent="0.2">
      <c r="B269" s="16"/>
      <c r="AC269" s="17"/>
      <c r="AD269" s="17"/>
      <c r="AE269" s="17"/>
      <c r="AF269" s="17"/>
      <c r="AG269" s="17"/>
      <c r="AH269" s="17"/>
      <c r="AI269" s="17"/>
      <c r="AJ269" s="17"/>
    </row>
    <row r="270" spans="2:36" ht="14.25" customHeight="1" x14ac:dyDescent="0.2">
      <c r="B270" s="16"/>
      <c r="AC270" s="17"/>
      <c r="AD270" s="17"/>
      <c r="AE270" s="17"/>
      <c r="AF270" s="17"/>
      <c r="AG270" s="17"/>
      <c r="AH270" s="17"/>
      <c r="AI270" s="17"/>
      <c r="AJ270" s="17"/>
    </row>
    <row r="271" spans="2:36" ht="14.25" customHeight="1" x14ac:dyDescent="0.2">
      <c r="B271" s="16"/>
      <c r="AC271" s="17"/>
      <c r="AD271" s="17"/>
      <c r="AE271" s="17"/>
      <c r="AF271" s="17"/>
      <c r="AG271" s="17"/>
      <c r="AH271" s="17"/>
      <c r="AI271" s="17"/>
      <c r="AJ271" s="17"/>
    </row>
    <row r="272" spans="2:36" ht="14.25" customHeight="1" x14ac:dyDescent="0.2">
      <c r="B272" s="16"/>
      <c r="AC272" s="17"/>
      <c r="AD272" s="17"/>
      <c r="AE272" s="17"/>
      <c r="AF272" s="17"/>
      <c r="AG272" s="17"/>
      <c r="AH272" s="17"/>
      <c r="AI272" s="17"/>
      <c r="AJ272" s="17"/>
    </row>
    <row r="273" spans="2:36" ht="14.25" customHeight="1" x14ac:dyDescent="0.2">
      <c r="B273" s="16"/>
      <c r="AC273" s="17"/>
      <c r="AD273" s="17"/>
      <c r="AE273" s="17"/>
      <c r="AF273" s="17"/>
      <c r="AG273" s="17"/>
      <c r="AH273" s="17"/>
      <c r="AI273" s="17"/>
      <c r="AJ273" s="17"/>
    </row>
    <row r="274" spans="2:36" ht="14.25" customHeight="1" x14ac:dyDescent="0.2">
      <c r="B274" s="16"/>
      <c r="AC274" s="17"/>
      <c r="AD274" s="17"/>
      <c r="AE274" s="17"/>
      <c r="AF274" s="17"/>
      <c r="AG274" s="17"/>
      <c r="AH274" s="17"/>
      <c r="AI274" s="17"/>
      <c r="AJ274" s="17"/>
    </row>
    <row r="275" spans="2:36" ht="14.25" customHeight="1" x14ac:dyDescent="0.2">
      <c r="B275" s="16"/>
      <c r="AC275" s="17"/>
      <c r="AD275" s="17"/>
      <c r="AE275" s="17"/>
      <c r="AF275" s="17"/>
      <c r="AG275" s="17"/>
      <c r="AH275" s="17"/>
      <c r="AI275" s="17"/>
      <c r="AJ275" s="17"/>
    </row>
    <row r="276" spans="2:36" ht="14.25" customHeight="1" x14ac:dyDescent="0.2">
      <c r="B276" s="16"/>
      <c r="AC276" s="17"/>
      <c r="AD276" s="17"/>
      <c r="AE276" s="17"/>
      <c r="AF276" s="17"/>
      <c r="AG276" s="17"/>
      <c r="AH276" s="17"/>
      <c r="AI276" s="17"/>
      <c r="AJ276" s="17"/>
    </row>
    <row r="277" spans="2:36" ht="14.25" customHeight="1" x14ac:dyDescent="0.2">
      <c r="B277" s="16"/>
      <c r="AC277" s="17"/>
      <c r="AD277" s="17"/>
      <c r="AE277" s="17"/>
      <c r="AF277" s="17"/>
      <c r="AG277" s="17"/>
      <c r="AH277" s="17"/>
      <c r="AI277" s="17"/>
      <c r="AJ277" s="17"/>
    </row>
    <row r="278" spans="2:36" ht="14.25" customHeight="1" x14ac:dyDescent="0.2">
      <c r="B278" s="16"/>
      <c r="AC278" s="17"/>
      <c r="AD278" s="17"/>
      <c r="AE278" s="17"/>
      <c r="AF278" s="17"/>
      <c r="AG278" s="17"/>
      <c r="AH278" s="17"/>
      <c r="AI278" s="17"/>
      <c r="AJ278" s="17"/>
    </row>
    <row r="279" spans="2:36" ht="14.25" customHeight="1" x14ac:dyDescent="0.2">
      <c r="B279" s="16"/>
      <c r="AC279" s="17"/>
      <c r="AD279" s="17"/>
      <c r="AE279" s="17"/>
      <c r="AF279" s="17"/>
      <c r="AG279" s="17"/>
      <c r="AH279" s="17"/>
      <c r="AI279" s="17"/>
      <c r="AJ279" s="17"/>
    </row>
    <row r="280" spans="2:36" ht="14.25" customHeight="1" x14ac:dyDescent="0.2">
      <c r="B280" s="16"/>
      <c r="AC280" s="17"/>
      <c r="AD280" s="17"/>
      <c r="AE280" s="17"/>
      <c r="AF280" s="17"/>
      <c r="AG280" s="17"/>
      <c r="AH280" s="17"/>
      <c r="AI280" s="17"/>
      <c r="AJ280" s="17"/>
    </row>
    <row r="281" spans="2:36" ht="14.25" customHeight="1" x14ac:dyDescent="0.2">
      <c r="B281" s="16"/>
      <c r="AC281" s="17"/>
      <c r="AD281" s="17"/>
      <c r="AE281" s="17"/>
      <c r="AF281" s="17"/>
      <c r="AG281" s="17"/>
      <c r="AH281" s="17"/>
      <c r="AI281" s="17"/>
      <c r="AJ281" s="17"/>
    </row>
    <row r="282" spans="2:36" ht="14.25" customHeight="1" x14ac:dyDescent="0.2">
      <c r="B282" s="16"/>
      <c r="AC282" s="17"/>
      <c r="AD282" s="17"/>
      <c r="AE282" s="17"/>
      <c r="AF282" s="17"/>
      <c r="AG282" s="17"/>
      <c r="AH282" s="17"/>
      <c r="AI282" s="17"/>
      <c r="AJ282" s="17"/>
    </row>
    <row r="283" spans="2:36" ht="14.25" customHeight="1" x14ac:dyDescent="0.2">
      <c r="B283" s="16"/>
      <c r="AC283" s="17"/>
      <c r="AD283" s="17"/>
      <c r="AE283" s="17"/>
      <c r="AF283" s="17"/>
      <c r="AG283" s="17"/>
      <c r="AH283" s="17"/>
      <c r="AI283" s="17"/>
      <c r="AJ283" s="17"/>
    </row>
    <row r="284" spans="2:36" ht="14.25" customHeight="1" x14ac:dyDescent="0.2">
      <c r="B284" s="16"/>
      <c r="AC284" s="17"/>
      <c r="AD284" s="17"/>
      <c r="AE284" s="17"/>
      <c r="AF284" s="17"/>
      <c r="AG284" s="17"/>
      <c r="AH284" s="17"/>
      <c r="AI284" s="17"/>
      <c r="AJ284" s="17"/>
    </row>
    <row r="285" spans="2:36" ht="14.25" customHeight="1" x14ac:dyDescent="0.2">
      <c r="B285" s="16"/>
      <c r="AC285" s="17"/>
      <c r="AD285" s="17"/>
      <c r="AE285" s="17"/>
      <c r="AF285" s="17"/>
      <c r="AG285" s="17"/>
      <c r="AH285" s="17"/>
      <c r="AI285" s="17"/>
      <c r="AJ285" s="17"/>
    </row>
    <row r="286" spans="2:36" ht="14.25" customHeight="1" x14ac:dyDescent="0.2">
      <c r="B286" s="16"/>
      <c r="AC286" s="17"/>
      <c r="AD286" s="17"/>
      <c r="AE286" s="17"/>
      <c r="AF286" s="17"/>
      <c r="AG286" s="17"/>
      <c r="AH286" s="17"/>
      <c r="AI286" s="17"/>
      <c r="AJ286" s="17"/>
    </row>
    <row r="287" spans="2:36" ht="14.25" customHeight="1" x14ac:dyDescent="0.2">
      <c r="B287" s="16"/>
      <c r="AC287" s="17"/>
      <c r="AD287" s="17"/>
      <c r="AE287" s="17"/>
      <c r="AF287" s="17"/>
      <c r="AG287" s="17"/>
      <c r="AH287" s="17"/>
      <c r="AI287" s="17"/>
      <c r="AJ287" s="17"/>
    </row>
    <row r="288" spans="2:36" ht="14.25" customHeight="1" x14ac:dyDescent="0.2">
      <c r="B288" s="16"/>
      <c r="AC288" s="17"/>
      <c r="AD288" s="17"/>
      <c r="AE288" s="17"/>
      <c r="AF288" s="17"/>
      <c r="AG288" s="17"/>
      <c r="AH288" s="17"/>
      <c r="AI288" s="17"/>
      <c r="AJ288" s="17"/>
    </row>
    <row r="289" spans="2:36" ht="14.25" customHeight="1" x14ac:dyDescent="0.2">
      <c r="B289" s="16"/>
      <c r="AC289" s="17"/>
      <c r="AD289" s="17"/>
      <c r="AE289" s="17"/>
      <c r="AF289" s="17"/>
      <c r="AG289" s="17"/>
      <c r="AH289" s="17"/>
      <c r="AI289" s="17"/>
      <c r="AJ289" s="17"/>
    </row>
    <row r="290" spans="2:36" ht="14.25" customHeight="1" x14ac:dyDescent="0.2">
      <c r="B290" s="16"/>
      <c r="AC290" s="17"/>
      <c r="AD290" s="17"/>
      <c r="AE290" s="17"/>
      <c r="AF290" s="17"/>
      <c r="AG290" s="17"/>
      <c r="AH290" s="17"/>
      <c r="AI290" s="17"/>
      <c r="AJ290" s="17"/>
    </row>
    <row r="291" spans="2:36" ht="14.25" customHeight="1" x14ac:dyDescent="0.2">
      <c r="B291" s="16"/>
      <c r="AC291" s="17"/>
      <c r="AD291" s="17"/>
      <c r="AE291" s="17"/>
      <c r="AF291" s="17"/>
      <c r="AG291" s="17"/>
      <c r="AH291" s="17"/>
      <c r="AI291" s="17"/>
      <c r="AJ291" s="17"/>
    </row>
    <row r="292" spans="2:36" ht="14.25" customHeight="1" x14ac:dyDescent="0.2">
      <c r="B292" s="16"/>
      <c r="AC292" s="17"/>
      <c r="AD292" s="17"/>
      <c r="AE292" s="17"/>
      <c r="AF292" s="17"/>
      <c r="AG292" s="17"/>
      <c r="AH292" s="17"/>
      <c r="AI292" s="17"/>
      <c r="AJ292" s="17"/>
    </row>
    <row r="293" spans="2:36" ht="14.25" customHeight="1" x14ac:dyDescent="0.2">
      <c r="B293" s="16"/>
      <c r="AC293" s="17"/>
      <c r="AD293" s="17"/>
      <c r="AE293" s="17"/>
      <c r="AF293" s="17"/>
      <c r="AG293" s="17"/>
      <c r="AH293" s="17"/>
      <c r="AI293" s="17"/>
      <c r="AJ293" s="17"/>
    </row>
    <row r="294" spans="2:36" ht="14.25" customHeight="1" x14ac:dyDescent="0.2">
      <c r="B294" s="16"/>
      <c r="AC294" s="17"/>
      <c r="AD294" s="17"/>
      <c r="AE294" s="17"/>
      <c r="AF294" s="17"/>
      <c r="AG294" s="17"/>
      <c r="AH294" s="17"/>
      <c r="AI294" s="17"/>
      <c r="AJ294" s="17"/>
    </row>
    <row r="295" spans="2:36" ht="14.25" customHeight="1" x14ac:dyDescent="0.2">
      <c r="B295" s="16"/>
      <c r="AC295" s="17"/>
      <c r="AD295" s="17"/>
      <c r="AE295" s="17"/>
      <c r="AF295" s="17"/>
      <c r="AG295" s="17"/>
      <c r="AH295" s="17"/>
      <c r="AI295" s="17"/>
      <c r="AJ295" s="17"/>
    </row>
    <row r="296" spans="2:36" ht="14.25" customHeight="1" x14ac:dyDescent="0.2">
      <c r="B296" s="16"/>
      <c r="AC296" s="17"/>
      <c r="AD296" s="17"/>
      <c r="AE296" s="17"/>
      <c r="AF296" s="17"/>
      <c r="AG296" s="17"/>
      <c r="AH296" s="17"/>
      <c r="AI296" s="17"/>
      <c r="AJ296" s="17"/>
    </row>
    <row r="297" spans="2:36" ht="14.25" customHeight="1" x14ac:dyDescent="0.2">
      <c r="B297" s="16"/>
      <c r="AC297" s="17"/>
      <c r="AD297" s="17"/>
      <c r="AE297" s="17"/>
      <c r="AF297" s="17"/>
      <c r="AG297" s="17"/>
      <c r="AH297" s="17"/>
      <c r="AI297" s="17"/>
      <c r="AJ297" s="17"/>
    </row>
    <row r="298" spans="2:36" ht="14.25" customHeight="1" x14ac:dyDescent="0.2">
      <c r="B298" s="16"/>
      <c r="AC298" s="17"/>
      <c r="AD298" s="17"/>
      <c r="AE298" s="17"/>
      <c r="AF298" s="17"/>
      <c r="AG298" s="17"/>
      <c r="AH298" s="17"/>
      <c r="AI298" s="17"/>
      <c r="AJ298" s="17"/>
    </row>
    <row r="299" spans="2:36" ht="14.25" customHeight="1" x14ac:dyDescent="0.2">
      <c r="B299" s="16"/>
      <c r="AC299" s="17"/>
      <c r="AD299" s="17"/>
      <c r="AE299" s="17"/>
      <c r="AF299" s="17"/>
      <c r="AG299" s="17"/>
      <c r="AH299" s="17"/>
      <c r="AI299" s="17"/>
      <c r="AJ299" s="17"/>
    </row>
    <row r="300" spans="2:36" ht="14.25" customHeight="1" x14ac:dyDescent="0.2">
      <c r="B300" s="16"/>
      <c r="AC300" s="17"/>
      <c r="AD300" s="17"/>
      <c r="AE300" s="17"/>
      <c r="AF300" s="17"/>
      <c r="AG300" s="17"/>
      <c r="AH300" s="17"/>
      <c r="AI300" s="17"/>
      <c r="AJ300" s="17"/>
    </row>
    <row r="301" spans="2:36" ht="14.25" customHeight="1" x14ac:dyDescent="0.2">
      <c r="B301" s="16"/>
      <c r="AC301" s="17"/>
      <c r="AD301" s="17"/>
      <c r="AE301" s="17"/>
      <c r="AF301" s="17"/>
      <c r="AG301" s="17"/>
      <c r="AH301" s="17"/>
      <c r="AI301" s="17"/>
      <c r="AJ301" s="17"/>
    </row>
    <row r="302" spans="2:36" ht="14.25" customHeight="1" x14ac:dyDescent="0.2">
      <c r="B302" s="16"/>
      <c r="AC302" s="17"/>
      <c r="AD302" s="17"/>
      <c r="AE302" s="17"/>
      <c r="AF302" s="17"/>
      <c r="AG302" s="17"/>
      <c r="AH302" s="17"/>
      <c r="AI302" s="17"/>
      <c r="AJ302" s="17"/>
    </row>
    <row r="303" spans="2:36" ht="14.25" customHeight="1" x14ac:dyDescent="0.2">
      <c r="B303" s="16"/>
      <c r="AC303" s="17"/>
      <c r="AD303" s="17"/>
      <c r="AE303" s="17"/>
      <c r="AF303" s="17"/>
      <c r="AG303" s="17"/>
      <c r="AH303" s="17"/>
      <c r="AI303" s="17"/>
      <c r="AJ303" s="17"/>
    </row>
    <row r="304" spans="2:36" ht="14.25" customHeight="1" x14ac:dyDescent="0.2">
      <c r="B304" s="16"/>
      <c r="AC304" s="17"/>
      <c r="AD304" s="17"/>
      <c r="AE304" s="17"/>
      <c r="AF304" s="17"/>
      <c r="AG304" s="17"/>
      <c r="AH304" s="17"/>
      <c r="AI304" s="17"/>
      <c r="AJ304" s="17"/>
    </row>
    <row r="305" spans="2:36" ht="14.25" customHeight="1" x14ac:dyDescent="0.2">
      <c r="B305" s="16"/>
      <c r="AC305" s="17"/>
      <c r="AD305" s="17"/>
      <c r="AE305" s="17"/>
      <c r="AF305" s="17"/>
      <c r="AG305" s="17"/>
      <c r="AH305" s="17"/>
      <c r="AI305" s="17"/>
      <c r="AJ305" s="17"/>
    </row>
    <row r="306" spans="2:36" ht="14.25" customHeight="1" x14ac:dyDescent="0.2">
      <c r="B306" s="16"/>
      <c r="AC306" s="17"/>
      <c r="AD306" s="17"/>
      <c r="AE306" s="17"/>
      <c r="AF306" s="17"/>
      <c r="AG306" s="17"/>
      <c r="AH306" s="17"/>
      <c r="AI306" s="17"/>
      <c r="AJ306" s="17"/>
    </row>
    <row r="307" spans="2:36" ht="14.25" customHeight="1" x14ac:dyDescent="0.2">
      <c r="B307" s="16"/>
      <c r="AC307" s="17"/>
      <c r="AD307" s="17"/>
      <c r="AE307" s="17"/>
      <c r="AF307" s="17"/>
      <c r="AG307" s="17"/>
      <c r="AH307" s="17"/>
      <c r="AI307" s="17"/>
      <c r="AJ307" s="17"/>
    </row>
    <row r="308" spans="2:36" ht="14.25" customHeight="1" x14ac:dyDescent="0.2">
      <c r="B308" s="16"/>
      <c r="AC308" s="17"/>
      <c r="AD308" s="17"/>
      <c r="AE308" s="17"/>
      <c r="AF308" s="17"/>
      <c r="AG308" s="17"/>
      <c r="AH308" s="17"/>
      <c r="AI308" s="17"/>
      <c r="AJ308" s="17"/>
    </row>
    <row r="309" spans="2:36" ht="14.25" customHeight="1" x14ac:dyDescent="0.2">
      <c r="B309" s="16"/>
      <c r="AC309" s="17"/>
      <c r="AD309" s="17"/>
      <c r="AE309" s="17"/>
      <c r="AF309" s="17"/>
      <c r="AG309" s="17"/>
      <c r="AH309" s="17"/>
      <c r="AI309" s="17"/>
      <c r="AJ309" s="17"/>
    </row>
    <row r="310" spans="2:36" ht="14.25" customHeight="1" x14ac:dyDescent="0.2">
      <c r="B310" s="16"/>
      <c r="AC310" s="17"/>
      <c r="AD310" s="17"/>
      <c r="AE310" s="17"/>
      <c r="AF310" s="17"/>
      <c r="AG310" s="17"/>
      <c r="AH310" s="17"/>
      <c r="AI310" s="17"/>
      <c r="AJ310" s="17"/>
    </row>
    <row r="311" spans="2:36" ht="14.25" customHeight="1" x14ac:dyDescent="0.2">
      <c r="B311" s="16"/>
      <c r="AC311" s="17"/>
      <c r="AD311" s="17"/>
      <c r="AE311" s="17"/>
      <c r="AF311" s="17"/>
      <c r="AG311" s="17"/>
      <c r="AH311" s="17"/>
      <c r="AI311" s="17"/>
      <c r="AJ311" s="17"/>
    </row>
    <row r="312" spans="2:36" ht="14.25" customHeight="1" x14ac:dyDescent="0.2">
      <c r="B312" s="16"/>
      <c r="AC312" s="17"/>
      <c r="AD312" s="17"/>
      <c r="AE312" s="17"/>
      <c r="AF312" s="17"/>
      <c r="AG312" s="17"/>
      <c r="AH312" s="17"/>
      <c r="AI312" s="17"/>
      <c r="AJ312" s="17"/>
    </row>
    <row r="313" spans="2:36" ht="14.25" customHeight="1" x14ac:dyDescent="0.2">
      <c r="B313" s="16"/>
      <c r="AC313" s="17"/>
      <c r="AD313" s="17"/>
      <c r="AE313" s="17"/>
      <c r="AF313" s="17"/>
      <c r="AG313" s="17"/>
      <c r="AH313" s="17"/>
      <c r="AI313" s="17"/>
      <c r="AJ313" s="17"/>
    </row>
    <row r="314" spans="2:36" ht="14.25" customHeight="1" x14ac:dyDescent="0.2">
      <c r="B314" s="16"/>
      <c r="AC314" s="17"/>
      <c r="AD314" s="17"/>
      <c r="AE314" s="17"/>
      <c r="AF314" s="17"/>
      <c r="AG314" s="17"/>
      <c r="AH314" s="17"/>
      <c r="AI314" s="17"/>
      <c r="AJ314" s="17"/>
    </row>
    <row r="315" spans="2:36" ht="14.25" customHeight="1" x14ac:dyDescent="0.2">
      <c r="B315" s="16"/>
      <c r="AC315" s="17"/>
      <c r="AD315" s="17"/>
      <c r="AE315" s="17"/>
      <c r="AF315" s="17"/>
      <c r="AG315" s="17"/>
      <c r="AH315" s="17"/>
      <c r="AI315" s="17"/>
      <c r="AJ315" s="17"/>
    </row>
    <row r="316" spans="2:36" ht="14.25" customHeight="1" x14ac:dyDescent="0.2">
      <c r="B316" s="16"/>
      <c r="AC316" s="17"/>
      <c r="AD316" s="17"/>
      <c r="AE316" s="17"/>
      <c r="AF316" s="17"/>
      <c r="AG316" s="17"/>
      <c r="AH316" s="17"/>
      <c r="AI316" s="17"/>
      <c r="AJ316" s="17"/>
    </row>
    <row r="317" spans="2:36" ht="14.25" customHeight="1" x14ac:dyDescent="0.2">
      <c r="B317" s="16"/>
      <c r="AC317" s="17"/>
      <c r="AD317" s="17"/>
      <c r="AE317" s="17"/>
      <c r="AF317" s="17"/>
      <c r="AG317" s="17"/>
      <c r="AH317" s="17"/>
      <c r="AI317" s="17"/>
      <c r="AJ317" s="17"/>
    </row>
    <row r="318" spans="2:36" ht="14.25" customHeight="1" x14ac:dyDescent="0.2">
      <c r="B318" s="16"/>
      <c r="AC318" s="17"/>
      <c r="AD318" s="17"/>
      <c r="AE318" s="17"/>
      <c r="AF318" s="17"/>
      <c r="AG318" s="17"/>
      <c r="AH318" s="17"/>
      <c r="AI318" s="17"/>
      <c r="AJ318" s="17"/>
    </row>
    <row r="319" spans="2:36" ht="14.25" customHeight="1" x14ac:dyDescent="0.2">
      <c r="B319" s="16"/>
      <c r="AC319" s="17"/>
      <c r="AD319" s="17"/>
      <c r="AE319" s="17"/>
      <c r="AF319" s="17"/>
      <c r="AG319" s="17"/>
      <c r="AH319" s="17"/>
      <c r="AI319" s="17"/>
      <c r="AJ319" s="17"/>
    </row>
    <row r="320" spans="2:36" ht="14.25" customHeight="1" x14ac:dyDescent="0.2">
      <c r="B320" s="16"/>
      <c r="AC320" s="17"/>
      <c r="AD320" s="17"/>
      <c r="AE320" s="17"/>
      <c r="AF320" s="17"/>
      <c r="AG320" s="17"/>
      <c r="AH320" s="17"/>
      <c r="AI320" s="17"/>
      <c r="AJ320" s="17"/>
    </row>
    <row r="321" spans="2:36" ht="14.25" customHeight="1" x14ac:dyDescent="0.2">
      <c r="B321" s="16"/>
      <c r="AC321" s="17"/>
      <c r="AD321" s="17"/>
      <c r="AE321" s="17"/>
      <c r="AF321" s="17"/>
      <c r="AG321" s="17"/>
      <c r="AH321" s="17"/>
      <c r="AI321" s="17"/>
      <c r="AJ321" s="17"/>
    </row>
    <row r="322" spans="2:36" ht="14.25" customHeight="1" x14ac:dyDescent="0.2">
      <c r="B322" s="16"/>
      <c r="AC322" s="17"/>
      <c r="AD322" s="17"/>
      <c r="AE322" s="17"/>
      <c r="AF322" s="17"/>
      <c r="AG322" s="17"/>
      <c r="AH322" s="17"/>
      <c r="AI322" s="17"/>
      <c r="AJ322" s="17"/>
    </row>
    <row r="323" spans="2:36" ht="14.25" customHeight="1" x14ac:dyDescent="0.2">
      <c r="B323" s="16"/>
      <c r="AC323" s="17"/>
      <c r="AD323" s="17"/>
      <c r="AE323" s="17"/>
      <c r="AF323" s="17"/>
      <c r="AG323" s="17"/>
      <c r="AH323" s="17"/>
      <c r="AI323" s="17"/>
      <c r="AJ323" s="17"/>
    </row>
    <row r="324" spans="2:36" ht="14.25" customHeight="1" x14ac:dyDescent="0.2">
      <c r="B324" s="16"/>
      <c r="AC324" s="17"/>
      <c r="AD324" s="17"/>
      <c r="AE324" s="17"/>
      <c r="AF324" s="17"/>
      <c r="AG324" s="17"/>
      <c r="AH324" s="17"/>
      <c r="AI324" s="17"/>
      <c r="AJ324" s="17"/>
    </row>
    <row r="325" spans="2:36" ht="14.25" customHeight="1" x14ac:dyDescent="0.2">
      <c r="B325" s="16"/>
      <c r="AC325" s="17"/>
      <c r="AD325" s="17"/>
      <c r="AE325" s="17"/>
      <c r="AF325" s="17"/>
      <c r="AG325" s="17"/>
      <c r="AH325" s="17"/>
      <c r="AI325" s="17"/>
      <c r="AJ325" s="17"/>
    </row>
    <row r="326" spans="2:36" ht="14.25" customHeight="1" x14ac:dyDescent="0.2">
      <c r="B326" s="16"/>
      <c r="AC326" s="17"/>
      <c r="AD326" s="17"/>
      <c r="AE326" s="17"/>
      <c r="AF326" s="17"/>
      <c r="AG326" s="17"/>
      <c r="AH326" s="17"/>
      <c r="AI326" s="17"/>
      <c r="AJ326" s="17"/>
    </row>
    <row r="327" spans="2:36" ht="14.25" customHeight="1" x14ac:dyDescent="0.2">
      <c r="B327" s="16"/>
      <c r="AC327" s="17"/>
      <c r="AD327" s="17"/>
      <c r="AE327" s="17"/>
      <c r="AF327" s="17"/>
      <c r="AG327" s="17"/>
      <c r="AH327" s="17"/>
      <c r="AI327" s="17"/>
      <c r="AJ327" s="17"/>
    </row>
    <row r="328" spans="2:36" ht="14.25" customHeight="1" x14ac:dyDescent="0.2">
      <c r="B328" s="16"/>
      <c r="AC328" s="17"/>
      <c r="AD328" s="17"/>
      <c r="AE328" s="17"/>
      <c r="AF328" s="17"/>
      <c r="AG328" s="17"/>
      <c r="AH328" s="17"/>
      <c r="AI328" s="17"/>
      <c r="AJ328" s="17"/>
    </row>
    <row r="329" spans="2:36" ht="14.25" customHeight="1" x14ac:dyDescent="0.2">
      <c r="B329" s="16"/>
      <c r="AC329" s="17"/>
      <c r="AD329" s="17"/>
      <c r="AE329" s="17"/>
      <c r="AF329" s="17"/>
      <c r="AG329" s="17"/>
      <c r="AH329" s="17"/>
      <c r="AI329" s="17"/>
      <c r="AJ329" s="17"/>
    </row>
    <row r="330" spans="2:36" ht="14.25" customHeight="1" x14ac:dyDescent="0.2">
      <c r="B330" s="16"/>
      <c r="AC330" s="17"/>
      <c r="AD330" s="17"/>
      <c r="AE330" s="17"/>
      <c r="AF330" s="17"/>
      <c r="AG330" s="17"/>
      <c r="AH330" s="17"/>
      <c r="AI330" s="17"/>
      <c r="AJ330" s="17"/>
    </row>
    <row r="331" spans="2:36" ht="14.25" customHeight="1" x14ac:dyDescent="0.2">
      <c r="B331" s="16"/>
      <c r="AC331" s="17"/>
      <c r="AD331" s="17"/>
      <c r="AE331" s="17"/>
      <c r="AF331" s="17"/>
      <c r="AG331" s="17"/>
      <c r="AH331" s="17"/>
      <c r="AI331" s="17"/>
      <c r="AJ331" s="17"/>
    </row>
    <row r="332" spans="2:36" ht="14.25" customHeight="1" x14ac:dyDescent="0.2">
      <c r="B332" s="16"/>
      <c r="AC332" s="17"/>
      <c r="AD332" s="17"/>
      <c r="AE332" s="17"/>
      <c r="AF332" s="17"/>
      <c r="AG332" s="17"/>
      <c r="AH332" s="17"/>
      <c r="AI332" s="17"/>
      <c r="AJ332" s="17"/>
    </row>
    <row r="333" spans="2:36" ht="14.25" customHeight="1" x14ac:dyDescent="0.2">
      <c r="B333" s="16"/>
      <c r="AC333" s="17"/>
      <c r="AD333" s="17"/>
      <c r="AE333" s="17"/>
      <c r="AF333" s="17"/>
      <c r="AG333" s="17"/>
      <c r="AH333" s="17"/>
      <c r="AI333" s="17"/>
      <c r="AJ333" s="17"/>
    </row>
    <row r="334" spans="2:36" ht="14.25" customHeight="1" x14ac:dyDescent="0.2">
      <c r="B334" s="16"/>
      <c r="AC334" s="17"/>
      <c r="AD334" s="17"/>
      <c r="AE334" s="17"/>
      <c r="AF334" s="17"/>
      <c r="AG334" s="17"/>
      <c r="AH334" s="17"/>
      <c r="AI334" s="17"/>
      <c r="AJ334" s="17"/>
    </row>
    <row r="335" spans="2:36" ht="14.25" customHeight="1" x14ac:dyDescent="0.2">
      <c r="B335" s="16"/>
      <c r="AC335" s="17"/>
      <c r="AD335" s="17"/>
      <c r="AE335" s="17"/>
      <c r="AF335" s="17"/>
      <c r="AG335" s="17"/>
      <c r="AH335" s="17"/>
      <c r="AI335" s="17"/>
      <c r="AJ335" s="17"/>
    </row>
    <row r="336" spans="2:36" ht="14.25" customHeight="1" x14ac:dyDescent="0.2">
      <c r="B336" s="16"/>
      <c r="AC336" s="17"/>
      <c r="AD336" s="17"/>
      <c r="AE336" s="17"/>
      <c r="AF336" s="17"/>
      <c r="AG336" s="17"/>
      <c r="AH336" s="17"/>
      <c r="AI336" s="17"/>
      <c r="AJ336" s="17"/>
    </row>
    <row r="337" spans="2:36" ht="14.25" customHeight="1" x14ac:dyDescent="0.2">
      <c r="B337" s="16"/>
      <c r="AC337" s="17"/>
      <c r="AD337" s="17"/>
      <c r="AE337" s="17"/>
      <c r="AF337" s="17"/>
      <c r="AG337" s="17"/>
      <c r="AH337" s="17"/>
      <c r="AI337" s="17"/>
      <c r="AJ337" s="17"/>
    </row>
    <row r="338" spans="2:36" ht="14.25" customHeight="1" x14ac:dyDescent="0.2">
      <c r="B338" s="16"/>
      <c r="AC338" s="17"/>
      <c r="AD338" s="17"/>
      <c r="AE338" s="17"/>
      <c r="AF338" s="17"/>
      <c r="AG338" s="17"/>
      <c r="AH338" s="17"/>
      <c r="AI338" s="17"/>
      <c r="AJ338" s="17"/>
    </row>
    <row r="339" spans="2:36" ht="14.25" customHeight="1" x14ac:dyDescent="0.2">
      <c r="B339" s="16"/>
      <c r="AC339" s="17"/>
      <c r="AD339" s="17"/>
      <c r="AE339" s="17"/>
      <c r="AF339" s="17"/>
      <c r="AG339" s="17"/>
      <c r="AH339" s="17"/>
      <c r="AI339" s="17"/>
      <c r="AJ339" s="17"/>
    </row>
    <row r="340" spans="2:36" ht="14.25" customHeight="1" x14ac:dyDescent="0.2">
      <c r="B340" s="16"/>
      <c r="AC340" s="17"/>
      <c r="AD340" s="17"/>
      <c r="AE340" s="17"/>
      <c r="AF340" s="17"/>
      <c r="AG340" s="17"/>
      <c r="AH340" s="17"/>
      <c r="AI340" s="17"/>
      <c r="AJ340" s="17"/>
    </row>
    <row r="341" spans="2:36" ht="14.25" customHeight="1" x14ac:dyDescent="0.2">
      <c r="B341" s="16"/>
      <c r="AC341" s="17"/>
      <c r="AD341" s="17"/>
      <c r="AE341" s="17"/>
      <c r="AF341" s="17"/>
      <c r="AG341" s="17"/>
      <c r="AH341" s="17"/>
      <c r="AI341" s="17"/>
      <c r="AJ341" s="17"/>
    </row>
    <row r="342" spans="2:36" ht="14.25" customHeight="1" x14ac:dyDescent="0.2">
      <c r="B342" s="16"/>
      <c r="AC342" s="17"/>
      <c r="AD342" s="17"/>
      <c r="AE342" s="17"/>
      <c r="AF342" s="17"/>
      <c r="AG342" s="17"/>
      <c r="AH342" s="17"/>
      <c r="AI342" s="17"/>
      <c r="AJ342" s="17"/>
    </row>
    <row r="343" spans="2:36" ht="14.25" customHeight="1" x14ac:dyDescent="0.2">
      <c r="B343" s="16"/>
      <c r="AC343" s="17"/>
      <c r="AD343" s="17"/>
      <c r="AE343" s="17"/>
      <c r="AF343" s="17"/>
      <c r="AG343" s="17"/>
      <c r="AH343" s="17"/>
      <c r="AI343" s="17"/>
      <c r="AJ343" s="17"/>
    </row>
    <row r="344" spans="2:36" ht="14.25" customHeight="1" x14ac:dyDescent="0.2">
      <c r="B344" s="16"/>
      <c r="AC344" s="17"/>
      <c r="AD344" s="17"/>
      <c r="AE344" s="17"/>
      <c r="AF344" s="17"/>
      <c r="AG344" s="17"/>
      <c r="AH344" s="17"/>
      <c r="AI344" s="17"/>
      <c r="AJ344" s="17"/>
    </row>
    <row r="345" spans="2:36" ht="14.25" customHeight="1" x14ac:dyDescent="0.2">
      <c r="B345" s="16"/>
      <c r="AC345" s="17"/>
      <c r="AD345" s="17"/>
      <c r="AE345" s="17"/>
      <c r="AF345" s="17"/>
      <c r="AG345" s="17"/>
      <c r="AH345" s="17"/>
      <c r="AI345" s="17"/>
      <c r="AJ345" s="17"/>
    </row>
    <row r="346" spans="2:36" ht="14.25" customHeight="1" x14ac:dyDescent="0.2">
      <c r="B346" s="16"/>
      <c r="AC346" s="17"/>
      <c r="AD346" s="17"/>
      <c r="AE346" s="17"/>
      <c r="AF346" s="17"/>
      <c r="AG346" s="17"/>
      <c r="AH346" s="17"/>
      <c r="AI346" s="17"/>
      <c r="AJ346" s="17"/>
    </row>
    <row r="347" spans="2:36" ht="14.25" customHeight="1" x14ac:dyDescent="0.2">
      <c r="B347" s="16"/>
      <c r="AC347" s="17"/>
      <c r="AD347" s="17"/>
      <c r="AE347" s="17"/>
      <c r="AF347" s="17"/>
      <c r="AG347" s="17"/>
      <c r="AH347" s="17"/>
      <c r="AI347" s="17"/>
      <c r="AJ347" s="17"/>
    </row>
    <row r="348" spans="2:36" ht="14.25" customHeight="1" x14ac:dyDescent="0.2">
      <c r="B348" s="16"/>
      <c r="AC348" s="17"/>
      <c r="AD348" s="17"/>
      <c r="AE348" s="17"/>
      <c r="AF348" s="17"/>
      <c r="AG348" s="17"/>
      <c r="AH348" s="17"/>
      <c r="AI348" s="17"/>
      <c r="AJ348" s="17"/>
    </row>
    <row r="349" spans="2:36" ht="14.25" customHeight="1" x14ac:dyDescent="0.2">
      <c r="B349" s="16"/>
      <c r="AC349" s="17"/>
      <c r="AD349" s="17"/>
      <c r="AE349" s="17"/>
      <c r="AF349" s="17"/>
      <c r="AG349" s="17"/>
      <c r="AH349" s="17"/>
      <c r="AI349" s="17"/>
      <c r="AJ349" s="17"/>
    </row>
    <row r="350" spans="2:36" ht="14.25" customHeight="1" x14ac:dyDescent="0.2">
      <c r="B350" s="16"/>
      <c r="AC350" s="17"/>
      <c r="AD350" s="17"/>
      <c r="AE350" s="17"/>
      <c r="AF350" s="17"/>
      <c r="AG350" s="17"/>
      <c r="AH350" s="17"/>
      <c r="AI350" s="17"/>
      <c r="AJ350" s="17"/>
    </row>
    <row r="351" spans="2:36" ht="14.25" customHeight="1" x14ac:dyDescent="0.2">
      <c r="B351" s="16"/>
      <c r="AC351" s="17"/>
      <c r="AD351" s="17"/>
      <c r="AE351" s="17"/>
      <c r="AF351" s="17"/>
      <c r="AG351" s="17"/>
      <c r="AH351" s="17"/>
      <c r="AI351" s="17"/>
      <c r="AJ351" s="17"/>
    </row>
    <row r="352" spans="2:36" ht="14.25" customHeight="1" x14ac:dyDescent="0.2">
      <c r="B352" s="16"/>
      <c r="AC352" s="17"/>
      <c r="AD352" s="17"/>
      <c r="AE352" s="17"/>
      <c r="AF352" s="17"/>
      <c r="AG352" s="17"/>
      <c r="AH352" s="17"/>
      <c r="AI352" s="17"/>
      <c r="AJ352" s="17"/>
    </row>
    <row r="353" spans="2:36" ht="14.25" customHeight="1" x14ac:dyDescent="0.2">
      <c r="B353" s="16"/>
      <c r="AC353" s="17"/>
      <c r="AD353" s="17"/>
      <c r="AE353" s="17"/>
      <c r="AF353" s="17"/>
      <c r="AG353" s="17"/>
      <c r="AH353" s="17"/>
      <c r="AI353" s="17"/>
      <c r="AJ353" s="17"/>
    </row>
    <row r="354" spans="2:36" ht="14.25" customHeight="1" x14ac:dyDescent="0.2">
      <c r="B354" s="16"/>
      <c r="AC354" s="17"/>
      <c r="AD354" s="17"/>
      <c r="AE354" s="17"/>
      <c r="AF354" s="17"/>
      <c r="AG354" s="17"/>
      <c r="AH354" s="17"/>
      <c r="AI354" s="17"/>
      <c r="AJ354" s="17"/>
    </row>
    <row r="355" spans="2:36" ht="14.25" customHeight="1" x14ac:dyDescent="0.2">
      <c r="B355" s="16"/>
      <c r="AC355" s="17"/>
      <c r="AD355" s="17"/>
      <c r="AE355" s="17"/>
      <c r="AF355" s="17"/>
      <c r="AG355" s="17"/>
      <c r="AH355" s="17"/>
      <c r="AI355" s="17"/>
      <c r="AJ355" s="17"/>
    </row>
    <row r="356" spans="2:36" ht="14.25" customHeight="1" x14ac:dyDescent="0.2">
      <c r="B356" s="16"/>
      <c r="AC356" s="17"/>
      <c r="AD356" s="17"/>
      <c r="AE356" s="17"/>
      <c r="AF356" s="17"/>
      <c r="AG356" s="17"/>
      <c r="AH356" s="17"/>
      <c r="AI356" s="17"/>
      <c r="AJ356" s="17"/>
    </row>
    <row r="357" spans="2:36" ht="14.25" customHeight="1" x14ac:dyDescent="0.2">
      <c r="B357" s="16"/>
      <c r="AC357" s="17"/>
      <c r="AD357" s="17"/>
      <c r="AE357" s="17"/>
      <c r="AF357" s="17"/>
      <c r="AG357" s="17"/>
      <c r="AH357" s="17"/>
      <c r="AI357" s="17"/>
      <c r="AJ357" s="17"/>
    </row>
    <row r="358" spans="2:36" ht="14.25" customHeight="1" x14ac:dyDescent="0.2">
      <c r="B358" s="16"/>
      <c r="AC358" s="17"/>
      <c r="AD358" s="17"/>
      <c r="AE358" s="17"/>
      <c r="AF358" s="17"/>
      <c r="AG358" s="17"/>
      <c r="AH358" s="17"/>
      <c r="AI358" s="17"/>
      <c r="AJ358" s="17"/>
    </row>
    <row r="359" spans="2:36" ht="14.25" customHeight="1" x14ac:dyDescent="0.2">
      <c r="B359" s="16"/>
      <c r="AC359" s="17"/>
      <c r="AD359" s="17"/>
      <c r="AE359" s="17"/>
      <c r="AF359" s="17"/>
      <c r="AG359" s="17"/>
      <c r="AH359" s="17"/>
      <c r="AI359" s="17"/>
      <c r="AJ359" s="17"/>
    </row>
    <row r="360" spans="2:36" ht="14.25" customHeight="1" x14ac:dyDescent="0.2">
      <c r="B360" s="16"/>
      <c r="AC360" s="17"/>
      <c r="AD360" s="17"/>
      <c r="AE360" s="17"/>
      <c r="AF360" s="17"/>
      <c r="AG360" s="17"/>
      <c r="AH360" s="17"/>
      <c r="AI360" s="17"/>
      <c r="AJ360" s="17"/>
    </row>
    <row r="361" spans="2:36" ht="14.25" customHeight="1" x14ac:dyDescent="0.2">
      <c r="B361" s="16"/>
      <c r="AC361" s="17"/>
      <c r="AD361" s="17"/>
      <c r="AE361" s="17"/>
      <c r="AF361" s="17"/>
      <c r="AG361" s="17"/>
      <c r="AH361" s="17"/>
      <c r="AI361" s="17"/>
      <c r="AJ361" s="17"/>
    </row>
    <row r="362" spans="2:36" ht="14.25" customHeight="1" x14ac:dyDescent="0.2">
      <c r="B362" s="16"/>
      <c r="AC362" s="17"/>
      <c r="AD362" s="17"/>
      <c r="AE362" s="17"/>
      <c r="AF362" s="17"/>
      <c r="AG362" s="17"/>
      <c r="AH362" s="17"/>
      <c r="AI362" s="17"/>
      <c r="AJ362" s="17"/>
    </row>
    <row r="363" spans="2:36" ht="14.25" customHeight="1" x14ac:dyDescent="0.2">
      <c r="B363" s="16"/>
      <c r="AC363" s="17"/>
      <c r="AD363" s="17"/>
      <c r="AE363" s="17"/>
      <c r="AF363" s="17"/>
      <c r="AG363" s="17"/>
      <c r="AH363" s="17"/>
      <c r="AI363" s="17"/>
      <c r="AJ363" s="17"/>
    </row>
    <row r="364" spans="2:36" ht="14.25" customHeight="1" x14ac:dyDescent="0.2">
      <c r="B364" s="16"/>
      <c r="AC364" s="17"/>
      <c r="AD364" s="17"/>
      <c r="AE364" s="17"/>
      <c r="AF364" s="17"/>
      <c r="AG364" s="17"/>
      <c r="AH364" s="17"/>
      <c r="AI364" s="17"/>
      <c r="AJ364" s="17"/>
    </row>
    <row r="365" spans="2:36" ht="14.25" customHeight="1" x14ac:dyDescent="0.2">
      <c r="B365" s="16"/>
      <c r="AC365" s="17"/>
      <c r="AD365" s="17"/>
      <c r="AE365" s="17"/>
      <c r="AF365" s="17"/>
      <c r="AG365" s="17"/>
      <c r="AH365" s="17"/>
      <c r="AI365" s="17"/>
      <c r="AJ365" s="17"/>
    </row>
    <row r="366" spans="2:36" ht="14.25" customHeight="1" x14ac:dyDescent="0.2">
      <c r="B366" s="16"/>
      <c r="AC366" s="17"/>
      <c r="AD366" s="17"/>
      <c r="AE366" s="17"/>
      <c r="AF366" s="17"/>
      <c r="AG366" s="17"/>
      <c r="AH366" s="17"/>
      <c r="AI366" s="17"/>
      <c r="AJ366" s="17"/>
    </row>
    <row r="367" spans="2:36" ht="14.25" customHeight="1" x14ac:dyDescent="0.2">
      <c r="B367" s="16"/>
      <c r="AC367" s="17"/>
      <c r="AD367" s="17"/>
      <c r="AE367" s="17"/>
      <c r="AF367" s="17"/>
      <c r="AG367" s="17"/>
      <c r="AH367" s="17"/>
      <c r="AI367" s="17"/>
      <c r="AJ367" s="17"/>
    </row>
    <row r="368" spans="2:36" ht="14.25" customHeight="1" x14ac:dyDescent="0.2">
      <c r="B368" s="16"/>
      <c r="AC368" s="17"/>
      <c r="AD368" s="17"/>
      <c r="AE368" s="17"/>
      <c r="AF368" s="17"/>
      <c r="AG368" s="17"/>
      <c r="AH368" s="17"/>
      <c r="AI368" s="17"/>
      <c r="AJ368" s="17"/>
    </row>
    <row r="369" spans="2:36" ht="14.25" customHeight="1" x14ac:dyDescent="0.2">
      <c r="B369" s="16"/>
      <c r="AC369" s="17"/>
      <c r="AD369" s="17"/>
      <c r="AE369" s="17"/>
      <c r="AF369" s="17"/>
      <c r="AG369" s="17"/>
      <c r="AH369" s="17"/>
      <c r="AI369" s="17"/>
      <c r="AJ369" s="17"/>
    </row>
    <row r="370" spans="2:36" ht="14.25" customHeight="1" x14ac:dyDescent="0.2">
      <c r="B370" s="16"/>
      <c r="AC370" s="17"/>
      <c r="AD370" s="17"/>
      <c r="AE370" s="17"/>
      <c r="AF370" s="17"/>
      <c r="AG370" s="17"/>
      <c r="AH370" s="17"/>
      <c r="AI370" s="17"/>
      <c r="AJ370" s="17"/>
    </row>
    <row r="371" spans="2:36" ht="14.25" customHeight="1" x14ac:dyDescent="0.2">
      <c r="B371" s="16"/>
      <c r="AC371" s="17"/>
      <c r="AD371" s="17"/>
      <c r="AE371" s="17"/>
      <c r="AF371" s="17"/>
      <c r="AG371" s="17"/>
      <c r="AH371" s="17"/>
      <c r="AI371" s="17"/>
      <c r="AJ371" s="17"/>
    </row>
    <row r="372" spans="2:36" ht="14.25" customHeight="1" x14ac:dyDescent="0.2">
      <c r="B372" s="16"/>
      <c r="AC372" s="17"/>
      <c r="AD372" s="17"/>
      <c r="AE372" s="17"/>
      <c r="AF372" s="17"/>
      <c r="AG372" s="17"/>
      <c r="AH372" s="17"/>
      <c r="AI372" s="17"/>
      <c r="AJ372" s="17"/>
    </row>
    <row r="373" spans="2:36" ht="14.25" customHeight="1" x14ac:dyDescent="0.2">
      <c r="B373" s="16"/>
      <c r="AC373" s="17"/>
      <c r="AD373" s="17"/>
      <c r="AE373" s="17"/>
      <c r="AF373" s="17"/>
      <c r="AG373" s="17"/>
      <c r="AH373" s="17"/>
      <c r="AI373" s="17"/>
      <c r="AJ373" s="17"/>
    </row>
    <row r="374" spans="2:36" ht="14.25" customHeight="1" x14ac:dyDescent="0.2">
      <c r="B374" s="16"/>
      <c r="AC374" s="17"/>
      <c r="AD374" s="17"/>
      <c r="AE374" s="17"/>
      <c r="AF374" s="17"/>
      <c r="AG374" s="17"/>
      <c r="AH374" s="17"/>
      <c r="AI374" s="17"/>
      <c r="AJ374" s="17"/>
    </row>
    <row r="375" spans="2:36" ht="14.25" customHeight="1" x14ac:dyDescent="0.2">
      <c r="B375" s="16"/>
      <c r="AC375" s="17"/>
      <c r="AD375" s="17"/>
      <c r="AE375" s="17"/>
      <c r="AF375" s="17"/>
      <c r="AG375" s="17"/>
      <c r="AH375" s="17"/>
      <c r="AI375" s="17"/>
      <c r="AJ375" s="17"/>
    </row>
    <row r="376" spans="2:36" ht="14.25" customHeight="1" x14ac:dyDescent="0.2">
      <c r="B376" s="16"/>
      <c r="AC376" s="17"/>
      <c r="AD376" s="17"/>
      <c r="AE376" s="17"/>
      <c r="AF376" s="17"/>
      <c r="AG376" s="17"/>
      <c r="AH376" s="17"/>
      <c r="AI376" s="17"/>
      <c r="AJ376" s="17"/>
    </row>
    <row r="377" spans="2:36" ht="14.25" customHeight="1" x14ac:dyDescent="0.2">
      <c r="B377" s="16"/>
      <c r="AC377" s="17"/>
      <c r="AD377" s="17"/>
      <c r="AE377" s="17"/>
      <c r="AF377" s="17"/>
      <c r="AG377" s="17"/>
      <c r="AH377" s="17"/>
      <c r="AI377" s="17"/>
      <c r="AJ377" s="17"/>
    </row>
    <row r="378" spans="2:36" ht="14.25" customHeight="1" x14ac:dyDescent="0.2">
      <c r="B378" s="16"/>
      <c r="AC378" s="17"/>
      <c r="AD378" s="17"/>
      <c r="AE378" s="17"/>
      <c r="AF378" s="17"/>
      <c r="AG378" s="17"/>
      <c r="AH378" s="17"/>
      <c r="AI378" s="17"/>
      <c r="AJ378" s="17"/>
    </row>
    <row r="379" spans="2:36" ht="14.25" customHeight="1" x14ac:dyDescent="0.2">
      <c r="B379" s="16"/>
      <c r="AC379" s="17"/>
      <c r="AD379" s="17"/>
      <c r="AE379" s="17"/>
      <c r="AF379" s="17"/>
      <c r="AG379" s="17"/>
      <c r="AH379" s="17"/>
      <c r="AI379" s="17"/>
      <c r="AJ379" s="17"/>
    </row>
    <row r="380" spans="2:36" ht="14.25" customHeight="1" x14ac:dyDescent="0.2">
      <c r="B380" s="16"/>
      <c r="AC380" s="17"/>
      <c r="AD380" s="17"/>
      <c r="AE380" s="17"/>
      <c r="AF380" s="17"/>
      <c r="AG380" s="17"/>
      <c r="AH380" s="17"/>
      <c r="AI380" s="17"/>
      <c r="AJ380" s="17"/>
    </row>
    <row r="381" spans="2:36" ht="14.25" customHeight="1" x14ac:dyDescent="0.2">
      <c r="B381" s="16"/>
      <c r="AC381" s="17"/>
      <c r="AD381" s="17"/>
      <c r="AE381" s="17"/>
      <c r="AF381" s="17"/>
      <c r="AG381" s="17"/>
      <c r="AH381" s="17"/>
      <c r="AI381" s="17"/>
      <c r="AJ381" s="17"/>
    </row>
    <row r="382" spans="2:36" ht="14.25" customHeight="1" x14ac:dyDescent="0.2">
      <c r="B382" s="16"/>
      <c r="AC382" s="17"/>
      <c r="AD382" s="17"/>
      <c r="AE382" s="17"/>
      <c r="AF382" s="17"/>
      <c r="AG382" s="17"/>
      <c r="AH382" s="17"/>
      <c r="AI382" s="17"/>
      <c r="AJ382" s="17"/>
    </row>
    <row r="383" spans="2:36" ht="14.25" customHeight="1" x14ac:dyDescent="0.2">
      <c r="B383" s="16"/>
      <c r="AC383" s="17"/>
      <c r="AD383" s="17"/>
      <c r="AE383" s="17"/>
      <c r="AF383" s="17"/>
      <c r="AG383" s="17"/>
      <c r="AH383" s="17"/>
      <c r="AI383" s="17"/>
      <c r="AJ383" s="17"/>
    </row>
    <row r="384" spans="2:36" ht="14.25" customHeight="1" x14ac:dyDescent="0.2">
      <c r="B384" s="16"/>
      <c r="AC384" s="17"/>
      <c r="AD384" s="17"/>
      <c r="AE384" s="17"/>
      <c r="AF384" s="17"/>
      <c r="AG384" s="17"/>
      <c r="AH384" s="17"/>
      <c r="AI384" s="17"/>
      <c r="AJ384" s="17"/>
    </row>
    <row r="385" spans="2:36" ht="14.25" customHeight="1" x14ac:dyDescent="0.2">
      <c r="B385" s="16"/>
      <c r="AC385" s="17"/>
      <c r="AD385" s="17"/>
      <c r="AE385" s="17"/>
      <c r="AF385" s="17"/>
      <c r="AG385" s="17"/>
      <c r="AH385" s="17"/>
      <c r="AI385" s="17"/>
      <c r="AJ385" s="17"/>
    </row>
    <row r="386" spans="2:36" ht="14.25" customHeight="1" x14ac:dyDescent="0.2">
      <c r="B386" s="16"/>
      <c r="AC386" s="17"/>
      <c r="AD386" s="17"/>
      <c r="AE386" s="17"/>
      <c r="AF386" s="17"/>
      <c r="AG386" s="17"/>
      <c r="AH386" s="17"/>
      <c r="AI386" s="17"/>
      <c r="AJ386" s="17"/>
    </row>
    <row r="387" spans="2:36" ht="14.25" customHeight="1" x14ac:dyDescent="0.2">
      <c r="B387" s="16"/>
      <c r="AC387" s="17"/>
      <c r="AD387" s="17"/>
      <c r="AE387" s="17"/>
      <c r="AF387" s="17"/>
      <c r="AG387" s="17"/>
      <c r="AH387" s="17"/>
      <c r="AI387" s="17"/>
      <c r="AJ387" s="17"/>
    </row>
    <row r="388" spans="2:36" ht="14.25" customHeight="1" x14ac:dyDescent="0.2">
      <c r="B388" s="16"/>
      <c r="AC388" s="17"/>
      <c r="AD388" s="17"/>
      <c r="AE388" s="17"/>
      <c r="AF388" s="17"/>
      <c r="AG388" s="17"/>
      <c r="AH388" s="17"/>
      <c r="AI388" s="17"/>
      <c r="AJ388" s="17"/>
    </row>
    <row r="389" spans="2:36" ht="14.25" customHeight="1" x14ac:dyDescent="0.2">
      <c r="B389" s="16"/>
      <c r="AC389" s="17"/>
      <c r="AD389" s="17"/>
      <c r="AE389" s="17"/>
      <c r="AF389" s="17"/>
      <c r="AG389" s="17"/>
      <c r="AH389" s="17"/>
      <c r="AI389" s="17"/>
      <c r="AJ389" s="17"/>
    </row>
    <row r="390" spans="2:36" ht="14.25" customHeight="1" x14ac:dyDescent="0.2">
      <c r="B390" s="16"/>
      <c r="AC390" s="17"/>
      <c r="AD390" s="17"/>
      <c r="AE390" s="17"/>
      <c r="AF390" s="17"/>
      <c r="AG390" s="17"/>
      <c r="AH390" s="17"/>
      <c r="AI390" s="17"/>
      <c r="AJ390" s="17"/>
    </row>
    <row r="391" spans="2:36" ht="14.25" customHeight="1" x14ac:dyDescent="0.2">
      <c r="B391" s="16"/>
      <c r="AC391" s="17"/>
      <c r="AD391" s="17"/>
      <c r="AE391" s="17"/>
      <c r="AF391" s="17"/>
      <c r="AG391" s="17"/>
      <c r="AH391" s="17"/>
      <c r="AI391" s="17"/>
      <c r="AJ391" s="17"/>
    </row>
    <row r="392" spans="2:36" ht="14.25" customHeight="1" x14ac:dyDescent="0.2">
      <c r="B392" s="16"/>
      <c r="AC392" s="17"/>
      <c r="AD392" s="17"/>
      <c r="AE392" s="17"/>
      <c r="AF392" s="17"/>
      <c r="AG392" s="17"/>
      <c r="AH392" s="17"/>
      <c r="AI392" s="17"/>
      <c r="AJ392" s="17"/>
    </row>
    <row r="393" spans="2:36" ht="14.25" customHeight="1" x14ac:dyDescent="0.2">
      <c r="B393" s="16"/>
      <c r="AC393" s="17"/>
      <c r="AD393" s="17"/>
      <c r="AE393" s="17"/>
      <c r="AF393" s="17"/>
      <c r="AG393" s="17"/>
      <c r="AH393" s="17"/>
      <c r="AI393" s="17"/>
      <c r="AJ393" s="17"/>
    </row>
    <row r="394" spans="2:36" ht="14.25" customHeight="1" x14ac:dyDescent="0.2">
      <c r="B394" s="16"/>
      <c r="AC394" s="17"/>
      <c r="AD394" s="17"/>
      <c r="AE394" s="17"/>
      <c r="AF394" s="17"/>
      <c r="AG394" s="17"/>
      <c r="AH394" s="17"/>
      <c r="AI394" s="17"/>
      <c r="AJ394" s="17"/>
    </row>
    <row r="395" spans="2:36" ht="14.25" customHeight="1" x14ac:dyDescent="0.2">
      <c r="B395" s="16"/>
      <c r="AC395" s="17"/>
      <c r="AD395" s="17"/>
      <c r="AE395" s="17"/>
      <c r="AF395" s="17"/>
      <c r="AG395" s="17"/>
      <c r="AH395" s="17"/>
      <c r="AI395" s="17"/>
      <c r="AJ395" s="17"/>
    </row>
    <row r="396" spans="2:36" ht="14.25" customHeight="1" x14ac:dyDescent="0.2">
      <c r="B396" s="16"/>
      <c r="AC396" s="17"/>
      <c r="AD396" s="17"/>
      <c r="AE396" s="17"/>
      <c r="AF396" s="17"/>
      <c r="AG396" s="17"/>
      <c r="AH396" s="17"/>
      <c r="AI396" s="17"/>
      <c r="AJ396" s="17"/>
    </row>
    <row r="397" spans="2:36" ht="14.25" customHeight="1" x14ac:dyDescent="0.2">
      <c r="B397" s="16"/>
      <c r="AC397" s="17"/>
      <c r="AD397" s="17"/>
      <c r="AE397" s="17"/>
      <c r="AF397" s="17"/>
      <c r="AG397" s="17"/>
      <c r="AH397" s="17"/>
      <c r="AI397" s="17"/>
      <c r="AJ397" s="17"/>
    </row>
    <row r="398" spans="2:36" ht="14.25" customHeight="1" x14ac:dyDescent="0.2">
      <c r="B398" s="16"/>
      <c r="AC398" s="17"/>
      <c r="AD398" s="17"/>
      <c r="AE398" s="17"/>
      <c r="AF398" s="17"/>
      <c r="AG398" s="17"/>
      <c r="AH398" s="17"/>
      <c r="AI398" s="17"/>
      <c r="AJ398" s="17"/>
    </row>
    <row r="399" spans="2:36" ht="14.25" customHeight="1" x14ac:dyDescent="0.2">
      <c r="B399" s="16"/>
      <c r="AC399" s="17"/>
      <c r="AD399" s="17"/>
      <c r="AE399" s="17"/>
      <c r="AF399" s="17"/>
      <c r="AG399" s="17"/>
      <c r="AH399" s="17"/>
      <c r="AI399" s="17"/>
      <c r="AJ399" s="17"/>
    </row>
    <row r="400" spans="2:36" ht="14.25" customHeight="1" x14ac:dyDescent="0.2">
      <c r="B400" s="16"/>
      <c r="AC400" s="17"/>
      <c r="AD400" s="17"/>
      <c r="AE400" s="17"/>
      <c r="AF400" s="17"/>
      <c r="AG400" s="17"/>
      <c r="AH400" s="17"/>
      <c r="AI400" s="17"/>
      <c r="AJ400" s="17"/>
    </row>
    <row r="401" spans="2:36" ht="14.25" customHeight="1" x14ac:dyDescent="0.2">
      <c r="B401" s="16"/>
      <c r="AC401" s="17"/>
      <c r="AD401" s="17"/>
      <c r="AE401" s="17"/>
      <c r="AF401" s="17"/>
      <c r="AG401" s="17"/>
      <c r="AH401" s="17"/>
      <c r="AI401" s="17"/>
      <c r="AJ401" s="17"/>
    </row>
    <row r="402" spans="2:36" ht="14.25" customHeight="1" x14ac:dyDescent="0.2">
      <c r="B402" s="16"/>
      <c r="AC402" s="17"/>
      <c r="AD402" s="17"/>
      <c r="AE402" s="17"/>
      <c r="AF402" s="17"/>
      <c r="AG402" s="17"/>
      <c r="AH402" s="17"/>
      <c r="AI402" s="17"/>
      <c r="AJ402" s="17"/>
    </row>
    <row r="403" spans="2:36" ht="14.25" customHeight="1" x14ac:dyDescent="0.2">
      <c r="B403" s="16"/>
      <c r="AC403" s="17"/>
      <c r="AD403" s="17"/>
      <c r="AE403" s="17"/>
      <c r="AF403" s="17"/>
      <c r="AG403" s="17"/>
      <c r="AH403" s="17"/>
      <c r="AI403" s="17"/>
      <c r="AJ403" s="17"/>
    </row>
    <row r="404" spans="2:36" ht="14.25" customHeight="1" x14ac:dyDescent="0.2">
      <c r="B404" s="16"/>
      <c r="AC404" s="17"/>
      <c r="AD404" s="17"/>
      <c r="AE404" s="17"/>
      <c r="AF404" s="17"/>
      <c r="AG404" s="17"/>
      <c r="AH404" s="17"/>
      <c r="AI404" s="17"/>
      <c r="AJ404" s="17"/>
    </row>
    <row r="405" spans="2:36" ht="14.25" customHeight="1" x14ac:dyDescent="0.2">
      <c r="B405" s="16"/>
      <c r="AC405" s="17"/>
      <c r="AD405" s="17"/>
      <c r="AE405" s="17"/>
      <c r="AF405" s="17"/>
      <c r="AG405" s="17"/>
      <c r="AH405" s="17"/>
      <c r="AI405" s="17"/>
      <c r="AJ405" s="17"/>
    </row>
    <row r="406" spans="2:36" ht="14.25" customHeight="1" x14ac:dyDescent="0.2">
      <c r="B406" s="16"/>
      <c r="AC406" s="17"/>
      <c r="AD406" s="17"/>
      <c r="AE406" s="17"/>
      <c r="AF406" s="17"/>
      <c r="AG406" s="17"/>
      <c r="AH406" s="17"/>
      <c r="AI406" s="17"/>
      <c r="AJ406" s="17"/>
    </row>
    <row r="407" spans="2:36" ht="14.25" customHeight="1" x14ac:dyDescent="0.2">
      <c r="B407" s="16"/>
      <c r="AC407" s="17"/>
      <c r="AD407" s="17"/>
      <c r="AE407" s="17"/>
      <c r="AF407" s="17"/>
      <c r="AG407" s="17"/>
      <c r="AH407" s="17"/>
      <c r="AI407" s="17"/>
      <c r="AJ407" s="17"/>
    </row>
    <row r="408" spans="2:36" ht="14.25" customHeight="1" x14ac:dyDescent="0.2">
      <c r="B408" s="16"/>
      <c r="AC408" s="17"/>
      <c r="AD408" s="17"/>
      <c r="AE408" s="17"/>
      <c r="AF408" s="17"/>
      <c r="AG408" s="17"/>
      <c r="AH408" s="17"/>
      <c r="AI408" s="17"/>
      <c r="AJ408" s="17"/>
    </row>
    <row r="409" spans="2:36" ht="14.25" customHeight="1" x14ac:dyDescent="0.2">
      <c r="B409" s="16"/>
      <c r="AC409" s="17"/>
      <c r="AD409" s="17"/>
      <c r="AE409" s="17"/>
      <c r="AF409" s="17"/>
      <c r="AG409" s="17"/>
      <c r="AH409" s="17"/>
      <c r="AI409" s="17"/>
      <c r="AJ409" s="17"/>
    </row>
    <row r="410" spans="2:36" ht="14.25" customHeight="1" x14ac:dyDescent="0.2">
      <c r="B410" s="16"/>
      <c r="AC410" s="17"/>
      <c r="AD410" s="17"/>
      <c r="AE410" s="17"/>
      <c r="AF410" s="17"/>
      <c r="AG410" s="17"/>
      <c r="AH410" s="17"/>
      <c r="AI410" s="17"/>
      <c r="AJ410" s="17"/>
    </row>
    <row r="411" spans="2:36" ht="14.25" customHeight="1" x14ac:dyDescent="0.2">
      <c r="B411" s="16"/>
      <c r="AC411" s="17"/>
      <c r="AD411" s="17"/>
      <c r="AE411" s="17"/>
      <c r="AF411" s="17"/>
      <c r="AG411" s="17"/>
      <c r="AH411" s="17"/>
      <c r="AI411" s="17"/>
      <c r="AJ411" s="17"/>
    </row>
    <row r="412" spans="2:36" ht="14.25" customHeight="1" x14ac:dyDescent="0.2">
      <c r="B412" s="16"/>
      <c r="AC412" s="17"/>
      <c r="AD412" s="17"/>
      <c r="AE412" s="17"/>
      <c r="AF412" s="17"/>
      <c r="AG412" s="17"/>
      <c r="AH412" s="17"/>
      <c r="AI412" s="17"/>
      <c r="AJ412" s="17"/>
    </row>
    <row r="413" spans="2:36" ht="14.25" customHeight="1" x14ac:dyDescent="0.2">
      <c r="B413" s="16"/>
      <c r="AC413" s="17"/>
      <c r="AD413" s="17"/>
      <c r="AE413" s="17"/>
      <c r="AF413" s="17"/>
      <c r="AG413" s="17"/>
      <c r="AH413" s="17"/>
      <c r="AI413" s="17"/>
      <c r="AJ413" s="17"/>
    </row>
    <row r="414" spans="2:36" ht="14.25" customHeight="1" x14ac:dyDescent="0.2">
      <c r="B414" s="16"/>
      <c r="AC414" s="17"/>
      <c r="AD414" s="17"/>
      <c r="AE414" s="17"/>
      <c r="AF414" s="17"/>
      <c r="AG414" s="17"/>
      <c r="AH414" s="17"/>
      <c r="AI414" s="17"/>
      <c r="AJ414" s="17"/>
    </row>
    <row r="415" spans="2:36" ht="14.25" customHeight="1" x14ac:dyDescent="0.2">
      <c r="B415" s="16"/>
      <c r="AC415" s="17"/>
      <c r="AD415" s="17"/>
      <c r="AE415" s="17"/>
      <c r="AF415" s="17"/>
      <c r="AG415" s="17"/>
      <c r="AH415" s="17"/>
      <c r="AI415" s="17"/>
      <c r="AJ415" s="17"/>
    </row>
    <row r="416" spans="2:36" ht="14.25" customHeight="1" x14ac:dyDescent="0.2">
      <c r="B416" s="16"/>
      <c r="AC416" s="17"/>
      <c r="AD416" s="17"/>
      <c r="AE416" s="17"/>
      <c r="AF416" s="17"/>
      <c r="AG416" s="17"/>
      <c r="AH416" s="17"/>
      <c r="AI416" s="17"/>
      <c r="AJ416" s="17"/>
    </row>
    <row r="417" spans="2:36" ht="14.25" customHeight="1" x14ac:dyDescent="0.2">
      <c r="B417" s="16"/>
      <c r="AC417" s="17"/>
      <c r="AD417" s="17"/>
      <c r="AE417" s="17"/>
      <c r="AF417" s="17"/>
      <c r="AG417" s="17"/>
      <c r="AH417" s="17"/>
      <c r="AI417" s="17"/>
      <c r="AJ417" s="17"/>
    </row>
    <row r="418" spans="2:36" ht="14.25" customHeight="1" x14ac:dyDescent="0.2">
      <c r="B418" s="16"/>
      <c r="AC418" s="17"/>
      <c r="AD418" s="17"/>
      <c r="AE418" s="17"/>
      <c r="AF418" s="17"/>
      <c r="AG418" s="17"/>
      <c r="AH418" s="17"/>
      <c r="AI418" s="17"/>
      <c r="AJ418" s="17"/>
    </row>
    <row r="419" spans="2:36" ht="14.25" customHeight="1" x14ac:dyDescent="0.2">
      <c r="B419" s="16"/>
      <c r="AC419" s="17"/>
      <c r="AD419" s="17"/>
      <c r="AE419" s="17"/>
      <c r="AF419" s="17"/>
      <c r="AG419" s="17"/>
      <c r="AH419" s="17"/>
      <c r="AI419" s="17"/>
      <c r="AJ419" s="17"/>
    </row>
    <row r="420" spans="2:36" ht="14.25" customHeight="1" x14ac:dyDescent="0.2">
      <c r="B420" s="16"/>
      <c r="AC420" s="17"/>
      <c r="AD420" s="17"/>
      <c r="AE420" s="17"/>
      <c r="AF420" s="17"/>
      <c r="AG420" s="17"/>
      <c r="AH420" s="17"/>
      <c r="AI420" s="17"/>
      <c r="AJ420" s="17"/>
    </row>
    <row r="421" spans="2:36" ht="14.25" customHeight="1" x14ac:dyDescent="0.2">
      <c r="B421" s="16"/>
      <c r="AC421" s="17"/>
      <c r="AD421" s="17"/>
      <c r="AE421" s="17"/>
      <c r="AF421" s="17"/>
      <c r="AG421" s="17"/>
      <c r="AH421" s="17"/>
      <c r="AI421" s="17"/>
      <c r="AJ421" s="17"/>
    </row>
    <row r="422" spans="2:36" ht="14.25" customHeight="1" x14ac:dyDescent="0.2">
      <c r="B422" s="16"/>
      <c r="AC422" s="17"/>
      <c r="AD422" s="17"/>
      <c r="AE422" s="17"/>
      <c r="AF422" s="17"/>
      <c r="AG422" s="17"/>
      <c r="AH422" s="17"/>
      <c r="AI422" s="17"/>
      <c r="AJ422" s="17"/>
    </row>
    <row r="423" spans="2:36" ht="14.25" customHeight="1" x14ac:dyDescent="0.2">
      <c r="B423" s="16"/>
      <c r="AC423" s="17"/>
      <c r="AD423" s="17"/>
      <c r="AE423" s="17"/>
      <c r="AF423" s="17"/>
      <c r="AG423" s="17"/>
      <c r="AH423" s="17"/>
      <c r="AI423" s="17"/>
      <c r="AJ423" s="17"/>
    </row>
    <row r="424" spans="2:36" ht="14.25" customHeight="1" x14ac:dyDescent="0.2">
      <c r="B424" s="16"/>
      <c r="AC424" s="17"/>
      <c r="AD424" s="17"/>
      <c r="AE424" s="17"/>
      <c r="AF424" s="17"/>
      <c r="AG424" s="17"/>
      <c r="AH424" s="17"/>
      <c r="AI424" s="17"/>
      <c r="AJ424" s="17"/>
    </row>
    <row r="425" spans="2:36" ht="14.25" customHeight="1" x14ac:dyDescent="0.2">
      <c r="B425" s="16"/>
      <c r="AC425" s="17"/>
      <c r="AD425" s="17"/>
      <c r="AE425" s="17"/>
      <c r="AF425" s="17"/>
      <c r="AG425" s="17"/>
      <c r="AH425" s="17"/>
      <c r="AI425" s="17"/>
      <c r="AJ425" s="17"/>
    </row>
    <row r="426" spans="2:36" ht="14.25" customHeight="1" x14ac:dyDescent="0.2">
      <c r="B426" s="16"/>
      <c r="AC426" s="17"/>
      <c r="AD426" s="17"/>
      <c r="AE426" s="17"/>
      <c r="AF426" s="17"/>
      <c r="AG426" s="17"/>
      <c r="AH426" s="17"/>
      <c r="AI426" s="17"/>
      <c r="AJ426" s="17"/>
    </row>
    <row r="427" spans="2:36" ht="14.25" customHeight="1" x14ac:dyDescent="0.2">
      <c r="B427" s="16"/>
      <c r="AC427" s="17"/>
      <c r="AD427" s="17"/>
      <c r="AE427" s="17"/>
      <c r="AF427" s="17"/>
      <c r="AG427" s="17"/>
      <c r="AH427" s="17"/>
      <c r="AI427" s="17"/>
      <c r="AJ427" s="17"/>
    </row>
    <row r="428" spans="2:36" ht="14.25" customHeight="1" x14ac:dyDescent="0.2">
      <c r="B428" s="16"/>
      <c r="AC428" s="17"/>
      <c r="AD428" s="17"/>
      <c r="AE428" s="17"/>
      <c r="AF428" s="17"/>
      <c r="AG428" s="17"/>
      <c r="AH428" s="17"/>
      <c r="AI428" s="17"/>
      <c r="AJ428" s="17"/>
    </row>
    <row r="429" spans="2:36" ht="14.25" customHeight="1" x14ac:dyDescent="0.2">
      <c r="B429" s="16"/>
      <c r="AC429" s="17"/>
      <c r="AD429" s="17"/>
      <c r="AE429" s="17"/>
      <c r="AF429" s="17"/>
      <c r="AG429" s="17"/>
      <c r="AH429" s="17"/>
      <c r="AI429" s="17"/>
      <c r="AJ429" s="17"/>
    </row>
    <row r="430" spans="2:36" ht="14.25" customHeight="1" x14ac:dyDescent="0.2">
      <c r="B430" s="16"/>
      <c r="AC430" s="17"/>
      <c r="AD430" s="17"/>
      <c r="AE430" s="17"/>
      <c r="AF430" s="17"/>
      <c r="AG430" s="17"/>
      <c r="AH430" s="17"/>
      <c r="AI430" s="17"/>
      <c r="AJ430" s="17"/>
    </row>
    <row r="431" spans="2:36" ht="14.25" customHeight="1" x14ac:dyDescent="0.2">
      <c r="B431" s="16"/>
      <c r="AC431" s="17"/>
      <c r="AD431" s="17"/>
      <c r="AE431" s="17"/>
      <c r="AF431" s="17"/>
      <c r="AG431" s="17"/>
      <c r="AH431" s="17"/>
      <c r="AI431" s="17"/>
      <c r="AJ431" s="17"/>
    </row>
    <row r="432" spans="2:36" ht="14.25" customHeight="1" x14ac:dyDescent="0.2">
      <c r="B432" s="16"/>
      <c r="AC432" s="17"/>
      <c r="AD432" s="17"/>
      <c r="AE432" s="17"/>
      <c r="AF432" s="17"/>
      <c r="AG432" s="17"/>
      <c r="AH432" s="17"/>
      <c r="AI432" s="17"/>
      <c r="AJ432" s="17"/>
    </row>
    <row r="433" spans="2:36" ht="14.25" customHeight="1" x14ac:dyDescent="0.2">
      <c r="B433" s="16"/>
      <c r="AC433" s="17"/>
      <c r="AD433" s="17"/>
      <c r="AE433" s="17"/>
      <c r="AF433" s="17"/>
      <c r="AG433" s="17"/>
      <c r="AH433" s="17"/>
      <c r="AI433" s="17"/>
      <c r="AJ433" s="17"/>
    </row>
    <row r="434" spans="2:36" ht="14.25" customHeight="1" x14ac:dyDescent="0.2">
      <c r="B434" s="16"/>
      <c r="AC434" s="17"/>
      <c r="AD434" s="17"/>
      <c r="AE434" s="17"/>
      <c r="AF434" s="17"/>
      <c r="AG434" s="17"/>
      <c r="AH434" s="17"/>
      <c r="AI434" s="17"/>
      <c r="AJ434" s="17"/>
    </row>
    <row r="435" spans="2:36" ht="14.25" customHeight="1" x14ac:dyDescent="0.2">
      <c r="B435" s="16"/>
      <c r="AC435" s="17"/>
      <c r="AD435" s="17"/>
      <c r="AE435" s="17"/>
      <c r="AF435" s="17"/>
      <c r="AG435" s="17"/>
      <c r="AH435" s="17"/>
      <c r="AI435" s="17"/>
      <c r="AJ435" s="17"/>
    </row>
    <row r="436" spans="2:36" ht="14.25" customHeight="1" x14ac:dyDescent="0.2">
      <c r="B436" s="16"/>
      <c r="AC436" s="17"/>
      <c r="AD436" s="17"/>
      <c r="AE436" s="17"/>
      <c r="AF436" s="17"/>
      <c r="AG436" s="17"/>
      <c r="AH436" s="17"/>
      <c r="AI436" s="17"/>
      <c r="AJ436" s="17"/>
    </row>
    <row r="437" spans="2:36" ht="14.25" customHeight="1" x14ac:dyDescent="0.2">
      <c r="B437" s="16"/>
      <c r="AC437" s="17"/>
      <c r="AD437" s="17"/>
      <c r="AE437" s="17"/>
      <c r="AF437" s="17"/>
      <c r="AG437" s="17"/>
      <c r="AH437" s="17"/>
      <c r="AI437" s="17"/>
      <c r="AJ437" s="17"/>
    </row>
    <row r="438" spans="2:36" ht="14.25" customHeight="1" x14ac:dyDescent="0.2">
      <c r="B438" s="16"/>
      <c r="AC438" s="17"/>
      <c r="AD438" s="17"/>
      <c r="AE438" s="17"/>
      <c r="AF438" s="17"/>
      <c r="AG438" s="17"/>
      <c r="AH438" s="17"/>
      <c r="AI438" s="17"/>
      <c r="AJ438" s="17"/>
    </row>
    <row r="439" spans="2:36" ht="14.25" customHeight="1" x14ac:dyDescent="0.2">
      <c r="B439" s="16"/>
      <c r="AC439" s="17"/>
      <c r="AD439" s="17"/>
      <c r="AE439" s="17"/>
      <c r="AF439" s="17"/>
      <c r="AG439" s="17"/>
      <c r="AH439" s="17"/>
      <c r="AI439" s="17"/>
      <c r="AJ439" s="17"/>
    </row>
    <row r="440" spans="2:36" ht="14.25" customHeight="1" x14ac:dyDescent="0.2">
      <c r="B440" s="16"/>
      <c r="AC440" s="17"/>
      <c r="AD440" s="17"/>
      <c r="AE440" s="17"/>
      <c r="AF440" s="17"/>
      <c r="AG440" s="17"/>
      <c r="AH440" s="17"/>
      <c r="AI440" s="17"/>
      <c r="AJ440" s="17"/>
    </row>
    <row r="441" spans="2:36" ht="14.25" customHeight="1" x14ac:dyDescent="0.2">
      <c r="B441" s="16"/>
      <c r="AC441" s="17"/>
      <c r="AD441" s="17"/>
      <c r="AE441" s="17"/>
      <c r="AF441" s="17"/>
      <c r="AG441" s="17"/>
      <c r="AH441" s="17"/>
      <c r="AI441" s="17"/>
      <c r="AJ441" s="17"/>
    </row>
    <row r="442" spans="2:36" ht="14.25" customHeight="1" x14ac:dyDescent="0.2">
      <c r="B442" s="16"/>
      <c r="AC442" s="17"/>
      <c r="AD442" s="17"/>
      <c r="AE442" s="17"/>
      <c r="AF442" s="17"/>
      <c r="AG442" s="17"/>
      <c r="AH442" s="17"/>
      <c r="AI442" s="17"/>
      <c r="AJ442" s="17"/>
    </row>
    <row r="443" spans="2:36" ht="14.25" customHeight="1" x14ac:dyDescent="0.2">
      <c r="B443" s="16"/>
      <c r="AC443" s="17"/>
      <c r="AD443" s="17"/>
      <c r="AE443" s="17"/>
      <c r="AF443" s="17"/>
      <c r="AG443" s="17"/>
      <c r="AH443" s="17"/>
      <c r="AI443" s="17"/>
      <c r="AJ443" s="17"/>
    </row>
    <row r="444" spans="2:36" ht="14.25" customHeight="1" x14ac:dyDescent="0.2">
      <c r="B444" s="16"/>
      <c r="AC444" s="17"/>
      <c r="AD444" s="17"/>
      <c r="AE444" s="17"/>
      <c r="AF444" s="17"/>
      <c r="AG444" s="17"/>
      <c r="AH444" s="17"/>
      <c r="AI444" s="17"/>
      <c r="AJ444" s="17"/>
    </row>
    <row r="445" spans="2:36" ht="14.25" customHeight="1" x14ac:dyDescent="0.2">
      <c r="B445" s="16"/>
      <c r="AC445" s="17"/>
      <c r="AD445" s="17"/>
      <c r="AE445" s="17"/>
      <c r="AF445" s="17"/>
      <c r="AG445" s="17"/>
      <c r="AH445" s="17"/>
      <c r="AI445" s="17"/>
      <c r="AJ445" s="17"/>
    </row>
    <row r="446" spans="2:36" ht="14.25" customHeight="1" x14ac:dyDescent="0.2">
      <c r="B446" s="16"/>
      <c r="AC446" s="17"/>
      <c r="AD446" s="17"/>
      <c r="AE446" s="17"/>
      <c r="AF446" s="17"/>
      <c r="AG446" s="17"/>
      <c r="AH446" s="17"/>
      <c r="AI446" s="17"/>
      <c r="AJ446" s="17"/>
    </row>
    <row r="447" spans="2:36" ht="14.25" customHeight="1" x14ac:dyDescent="0.2">
      <c r="B447" s="16"/>
      <c r="AC447" s="17"/>
      <c r="AD447" s="17"/>
      <c r="AE447" s="17"/>
      <c r="AF447" s="17"/>
      <c r="AG447" s="17"/>
      <c r="AH447" s="17"/>
      <c r="AI447" s="17"/>
      <c r="AJ447" s="17"/>
    </row>
    <row r="448" spans="2:36" ht="14.25" customHeight="1" x14ac:dyDescent="0.2">
      <c r="B448" s="16"/>
      <c r="AC448" s="17"/>
      <c r="AD448" s="17"/>
      <c r="AE448" s="17"/>
      <c r="AF448" s="17"/>
      <c r="AG448" s="17"/>
      <c r="AH448" s="17"/>
      <c r="AI448" s="17"/>
      <c r="AJ448" s="17"/>
    </row>
    <row r="449" spans="2:36" ht="14.25" customHeight="1" x14ac:dyDescent="0.2">
      <c r="B449" s="16"/>
      <c r="AC449" s="17"/>
      <c r="AD449" s="17"/>
      <c r="AE449" s="17"/>
      <c r="AF449" s="17"/>
      <c r="AG449" s="17"/>
      <c r="AH449" s="17"/>
      <c r="AI449" s="17"/>
      <c r="AJ449" s="17"/>
    </row>
    <row r="450" spans="2:36" ht="14.25" customHeight="1" x14ac:dyDescent="0.2">
      <c r="B450" s="16"/>
      <c r="AC450" s="17"/>
      <c r="AD450" s="17"/>
      <c r="AE450" s="17"/>
      <c r="AF450" s="17"/>
      <c r="AG450" s="17"/>
      <c r="AH450" s="17"/>
      <c r="AI450" s="17"/>
      <c r="AJ450" s="17"/>
    </row>
    <row r="451" spans="2:36" ht="14.25" customHeight="1" x14ac:dyDescent="0.2">
      <c r="B451" s="16"/>
      <c r="AC451" s="17"/>
      <c r="AD451" s="17"/>
      <c r="AE451" s="17"/>
      <c r="AF451" s="17"/>
      <c r="AG451" s="17"/>
      <c r="AH451" s="17"/>
      <c r="AI451" s="17"/>
      <c r="AJ451" s="17"/>
    </row>
    <row r="452" spans="2:36" ht="14.25" customHeight="1" x14ac:dyDescent="0.2">
      <c r="B452" s="16"/>
      <c r="AC452" s="17"/>
      <c r="AD452" s="17"/>
      <c r="AE452" s="17"/>
      <c r="AF452" s="17"/>
      <c r="AG452" s="17"/>
      <c r="AH452" s="17"/>
      <c r="AI452" s="17"/>
      <c r="AJ452" s="17"/>
    </row>
    <row r="453" spans="2:36" ht="14.25" customHeight="1" x14ac:dyDescent="0.2">
      <c r="B453" s="16"/>
      <c r="AC453" s="17"/>
      <c r="AD453" s="17"/>
      <c r="AE453" s="17"/>
      <c r="AF453" s="17"/>
      <c r="AG453" s="17"/>
      <c r="AH453" s="17"/>
      <c r="AI453" s="17"/>
      <c r="AJ453" s="17"/>
    </row>
    <row r="454" spans="2:36" ht="14.25" customHeight="1" x14ac:dyDescent="0.2">
      <c r="B454" s="16"/>
      <c r="AC454" s="17"/>
      <c r="AD454" s="17"/>
      <c r="AE454" s="17"/>
      <c r="AF454" s="17"/>
      <c r="AG454" s="17"/>
      <c r="AH454" s="17"/>
      <c r="AI454" s="17"/>
      <c r="AJ454" s="17"/>
    </row>
    <row r="455" spans="2:36" ht="14.25" customHeight="1" x14ac:dyDescent="0.2">
      <c r="B455" s="16"/>
      <c r="AC455" s="17"/>
      <c r="AD455" s="17"/>
      <c r="AE455" s="17"/>
      <c r="AF455" s="17"/>
      <c r="AG455" s="17"/>
      <c r="AH455" s="17"/>
      <c r="AI455" s="17"/>
      <c r="AJ455" s="17"/>
    </row>
    <row r="456" spans="2:36" ht="14.25" customHeight="1" x14ac:dyDescent="0.2">
      <c r="B456" s="16"/>
      <c r="AC456" s="17"/>
      <c r="AD456" s="17"/>
      <c r="AE456" s="17"/>
      <c r="AF456" s="17"/>
      <c r="AG456" s="17"/>
      <c r="AH456" s="17"/>
      <c r="AI456" s="17"/>
      <c r="AJ456" s="17"/>
    </row>
    <row r="457" spans="2:36" ht="14.25" customHeight="1" x14ac:dyDescent="0.2">
      <c r="B457" s="16"/>
      <c r="AC457" s="17"/>
      <c r="AD457" s="17"/>
      <c r="AE457" s="17"/>
      <c r="AF457" s="17"/>
      <c r="AG457" s="17"/>
      <c r="AH457" s="17"/>
      <c r="AI457" s="17"/>
      <c r="AJ457" s="17"/>
    </row>
    <row r="458" spans="2:36" ht="14.25" customHeight="1" x14ac:dyDescent="0.2">
      <c r="B458" s="16"/>
      <c r="AC458" s="17"/>
      <c r="AD458" s="17"/>
      <c r="AE458" s="17"/>
      <c r="AF458" s="17"/>
      <c r="AG458" s="17"/>
      <c r="AH458" s="17"/>
      <c r="AI458" s="17"/>
      <c r="AJ458" s="17"/>
    </row>
    <row r="459" spans="2:36" ht="14.25" customHeight="1" x14ac:dyDescent="0.2">
      <c r="B459" s="16"/>
      <c r="AC459" s="17"/>
      <c r="AD459" s="17"/>
      <c r="AE459" s="17"/>
      <c r="AF459" s="17"/>
      <c r="AG459" s="17"/>
      <c r="AH459" s="17"/>
      <c r="AI459" s="17"/>
      <c r="AJ459" s="17"/>
    </row>
    <row r="460" spans="2:36" ht="14.25" customHeight="1" x14ac:dyDescent="0.2">
      <c r="B460" s="16"/>
      <c r="AC460" s="17"/>
      <c r="AD460" s="17"/>
      <c r="AE460" s="17"/>
      <c r="AF460" s="17"/>
      <c r="AG460" s="17"/>
      <c r="AH460" s="17"/>
      <c r="AI460" s="17"/>
      <c r="AJ460" s="17"/>
    </row>
    <row r="461" spans="2:36" ht="14.25" customHeight="1" x14ac:dyDescent="0.2">
      <c r="B461" s="16"/>
      <c r="AC461" s="17"/>
      <c r="AD461" s="17"/>
      <c r="AE461" s="17"/>
      <c r="AF461" s="17"/>
      <c r="AG461" s="17"/>
      <c r="AH461" s="17"/>
      <c r="AI461" s="17"/>
      <c r="AJ461" s="17"/>
    </row>
    <row r="462" spans="2:36" ht="14.25" customHeight="1" x14ac:dyDescent="0.2">
      <c r="B462" s="16"/>
      <c r="AC462" s="17"/>
      <c r="AD462" s="17"/>
      <c r="AE462" s="17"/>
      <c r="AF462" s="17"/>
      <c r="AG462" s="17"/>
      <c r="AH462" s="17"/>
      <c r="AI462" s="17"/>
      <c r="AJ462" s="17"/>
    </row>
    <row r="463" spans="2:36" ht="14.25" customHeight="1" x14ac:dyDescent="0.2">
      <c r="B463" s="16"/>
      <c r="AC463" s="17"/>
      <c r="AD463" s="17"/>
      <c r="AE463" s="17"/>
      <c r="AF463" s="17"/>
      <c r="AG463" s="17"/>
      <c r="AH463" s="17"/>
      <c r="AI463" s="17"/>
      <c r="AJ463" s="17"/>
    </row>
    <row r="464" spans="2:36" ht="14.25" customHeight="1" x14ac:dyDescent="0.2">
      <c r="B464" s="16"/>
      <c r="AC464" s="17"/>
      <c r="AD464" s="17"/>
      <c r="AE464" s="17"/>
      <c r="AF464" s="17"/>
      <c r="AG464" s="17"/>
      <c r="AH464" s="17"/>
      <c r="AI464" s="17"/>
      <c r="AJ464" s="17"/>
    </row>
    <row r="465" spans="2:36" ht="14.25" customHeight="1" x14ac:dyDescent="0.2">
      <c r="B465" s="16"/>
      <c r="AC465" s="17"/>
      <c r="AD465" s="17"/>
      <c r="AE465" s="17"/>
      <c r="AF465" s="17"/>
      <c r="AG465" s="17"/>
      <c r="AH465" s="17"/>
      <c r="AI465" s="17"/>
      <c r="AJ465" s="17"/>
    </row>
    <row r="466" spans="2:36" ht="14.25" customHeight="1" x14ac:dyDescent="0.2">
      <c r="B466" s="16"/>
      <c r="AC466" s="17"/>
      <c r="AD466" s="17"/>
      <c r="AE466" s="17"/>
      <c r="AF466" s="17"/>
      <c r="AG466" s="17"/>
      <c r="AH466" s="17"/>
      <c r="AI466" s="17"/>
      <c r="AJ466" s="17"/>
    </row>
    <row r="467" spans="2:36" ht="14.25" customHeight="1" x14ac:dyDescent="0.2">
      <c r="B467" s="16"/>
      <c r="AC467" s="17"/>
      <c r="AD467" s="17"/>
      <c r="AE467" s="17"/>
      <c r="AF467" s="17"/>
      <c r="AG467" s="17"/>
      <c r="AH467" s="17"/>
      <c r="AI467" s="17"/>
      <c r="AJ467" s="17"/>
    </row>
    <row r="468" spans="2:36" ht="14.25" customHeight="1" x14ac:dyDescent="0.2">
      <c r="B468" s="16"/>
      <c r="AC468" s="17"/>
      <c r="AD468" s="17"/>
      <c r="AE468" s="17"/>
      <c r="AF468" s="17"/>
      <c r="AG468" s="17"/>
      <c r="AH468" s="17"/>
      <c r="AI468" s="17"/>
      <c r="AJ468" s="17"/>
    </row>
    <row r="469" spans="2:36" ht="14.25" customHeight="1" x14ac:dyDescent="0.2">
      <c r="B469" s="16"/>
      <c r="AC469" s="17"/>
      <c r="AD469" s="17"/>
      <c r="AE469" s="17"/>
      <c r="AF469" s="17"/>
      <c r="AG469" s="17"/>
      <c r="AH469" s="17"/>
      <c r="AI469" s="17"/>
      <c r="AJ469" s="17"/>
    </row>
    <row r="470" spans="2:36" ht="14.25" customHeight="1" x14ac:dyDescent="0.2">
      <c r="B470" s="16"/>
      <c r="AC470" s="17"/>
      <c r="AD470" s="17"/>
      <c r="AE470" s="17"/>
      <c r="AF470" s="17"/>
      <c r="AG470" s="17"/>
      <c r="AH470" s="17"/>
      <c r="AI470" s="17"/>
      <c r="AJ470" s="17"/>
    </row>
    <row r="471" spans="2:36" ht="14.25" customHeight="1" x14ac:dyDescent="0.2">
      <c r="B471" s="16"/>
      <c r="AC471" s="17"/>
      <c r="AD471" s="17"/>
      <c r="AE471" s="17"/>
      <c r="AF471" s="17"/>
      <c r="AG471" s="17"/>
      <c r="AH471" s="17"/>
      <c r="AI471" s="17"/>
      <c r="AJ471" s="17"/>
    </row>
    <row r="472" spans="2:36" ht="14.25" customHeight="1" x14ac:dyDescent="0.2">
      <c r="B472" s="16"/>
      <c r="AC472" s="17"/>
      <c r="AD472" s="17"/>
      <c r="AE472" s="17"/>
      <c r="AF472" s="17"/>
      <c r="AG472" s="17"/>
      <c r="AH472" s="17"/>
      <c r="AI472" s="17"/>
      <c r="AJ472" s="17"/>
    </row>
    <row r="473" spans="2:36" ht="14.25" customHeight="1" x14ac:dyDescent="0.2">
      <c r="B473" s="16"/>
      <c r="AC473" s="17"/>
      <c r="AD473" s="17"/>
      <c r="AE473" s="17"/>
      <c r="AF473" s="17"/>
      <c r="AG473" s="17"/>
      <c r="AH473" s="17"/>
      <c r="AI473" s="17"/>
      <c r="AJ473" s="17"/>
    </row>
    <row r="474" spans="2:36" ht="14.25" customHeight="1" x14ac:dyDescent="0.2">
      <c r="B474" s="16"/>
      <c r="AC474" s="17"/>
      <c r="AD474" s="17"/>
      <c r="AE474" s="17"/>
      <c r="AF474" s="17"/>
      <c r="AG474" s="17"/>
      <c r="AH474" s="17"/>
      <c r="AI474" s="17"/>
      <c r="AJ474" s="17"/>
    </row>
    <row r="475" spans="2:36" ht="14.25" customHeight="1" x14ac:dyDescent="0.2">
      <c r="B475" s="16"/>
      <c r="AC475" s="17"/>
      <c r="AD475" s="17"/>
      <c r="AE475" s="17"/>
      <c r="AF475" s="17"/>
      <c r="AG475" s="17"/>
      <c r="AH475" s="17"/>
      <c r="AI475" s="17"/>
      <c r="AJ475" s="17"/>
    </row>
    <row r="476" spans="2:36" ht="14.25" customHeight="1" x14ac:dyDescent="0.2">
      <c r="B476" s="16"/>
      <c r="AC476" s="17"/>
      <c r="AD476" s="17"/>
      <c r="AE476" s="17"/>
      <c r="AF476" s="17"/>
      <c r="AG476" s="17"/>
      <c r="AH476" s="17"/>
      <c r="AI476" s="17"/>
      <c r="AJ476" s="17"/>
    </row>
    <row r="477" spans="2:36" ht="14.25" customHeight="1" x14ac:dyDescent="0.2">
      <c r="B477" s="16"/>
      <c r="AC477" s="17"/>
      <c r="AD477" s="17"/>
      <c r="AE477" s="17"/>
      <c r="AF477" s="17"/>
      <c r="AG477" s="17"/>
      <c r="AH477" s="17"/>
      <c r="AI477" s="17"/>
      <c r="AJ477" s="17"/>
    </row>
    <row r="478" spans="2:36" ht="14.25" customHeight="1" x14ac:dyDescent="0.2">
      <c r="B478" s="16"/>
      <c r="AC478" s="17"/>
      <c r="AD478" s="17"/>
      <c r="AE478" s="17"/>
      <c r="AF478" s="17"/>
      <c r="AG478" s="17"/>
      <c r="AH478" s="17"/>
      <c r="AI478" s="17"/>
      <c r="AJ478" s="17"/>
    </row>
    <row r="479" spans="2:36" ht="14.25" customHeight="1" x14ac:dyDescent="0.2">
      <c r="B479" s="16"/>
      <c r="AC479" s="17"/>
      <c r="AD479" s="17"/>
      <c r="AE479" s="17"/>
      <c r="AF479" s="17"/>
      <c r="AG479" s="17"/>
      <c r="AH479" s="17"/>
      <c r="AI479" s="17"/>
      <c r="AJ479" s="17"/>
    </row>
    <row r="480" spans="2:36" ht="14.25" customHeight="1" x14ac:dyDescent="0.2">
      <c r="B480" s="16"/>
      <c r="AC480" s="17"/>
      <c r="AD480" s="17"/>
      <c r="AE480" s="17"/>
      <c r="AF480" s="17"/>
      <c r="AG480" s="17"/>
      <c r="AH480" s="17"/>
      <c r="AI480" s="17"/>
      <c r="AJ480" s="17"/>
    </row>
    <row r="481" spans="2:36" ht="14.25" customHeight="1" x14ac:dyDescent="0.2">
      <c r="B481" s="16"/>
      <c r="AC481" s="17"/>
      <c r="AD481" s="17"/>
      <c r="AE481" s="17"/>
      <c r="AF481" s="17"/>
      <c r="AG481" s="17"/>
      <c r="AH481" s="17"/>
      <c r="AI481" s="17"/>
      <c r="AJ481" s="17"/>
    </row>
    <row r="482" spans="2:36" ht="14.25" customHeight="1" x14ac:dyDescent="0.2">
      <c r="B482" s="16"/>
      <c r="AC482" s="17"/>
      <c r="AD482" s="17"/>
      <c r="AE482" s="17"/>
      <c r="AF482" s="17"/>
      <c r="AG482" s="17"/>
      <c r="AH482" s="17"/>
      <c r="AI482" s="17"/>
      <c r="AJ482" s="17"/>
    </row>
    <row r="483" spans="2:36" ht="14.25" customHeight="1" x14ac:dyDescent="0.2">
      <c r="B483" s="16"/>
      <c r="AC483" s="17"/>
      <c r="AD483" s="17"/>
      <c r="AE483" s="17"/>
      <c r="AF483" s="17"/>
      <c r="AG483" s="17"/>
      <c r="AH483" s="17"/>
      <c r="AI483" s="17"/>
      <c r="AJ483" s="17"/>
    </row>
    <row r="484" spans="2:36" ht="14.25" customHeight="1" x14ac:dyDescent="0.2">
      <c r="B484" s="16"/>
      <c r="AC484" s="17"/>
      <c r="AD484" s="17"/>
      <c r="AE484" s="17"/>
      <c r="AF484" s="17"/>
      <c r="AG484" s="17"/>
      <c r="AH484" s="17"/>
      <c r="AI484" s="17"/>
      <c r="AJ484" s="17"/>
    </row>
    <row r="485" spans="2:36" ht="14.25" customHeight="1" x14ac:dyDescent="0.2">
      <c r="B485" s="16"/>
      <c r="AC485" s="17"/>
      <c r="AD485" s="17"/>
      <c r="AE485" s="17"/>
      <c r="AF485" s="17"/>
      <c r="AG485" s="17"/>
      <c r="AH485" s="17"/>
      <c r="AI485" s="17"/>
      <c r="AJ485" s="17"/>
    </row>
    <row r="486" spans="2:36" ht="14.25" customHeight="1" x14ac:dyDescent="0.2">
      <c r="B486" s="16"/>
      <c r="AC486" s="17"/>
      <c r="AD486" s="17"/>
      <c r="AE486" s="17"/>
      <c r="AF486" s="17"/>
      <c r="AG486" s="17"/>
      <c r="AH486" s="17"/>
      <c r="AI486" s="17"/>
      <c r="AJ486" s="17"/>
    </row>
    <row r="487" spans="2:36" ht="14.25" customHeight="1" x14ac:dyDescent="0.2">
      <c r="B487" s="16"/>
      <c r="AC487" s="17"/>
      <c r="AD487" s="17"/>
      <c r="AE487" s="17"/>
      <c r="AF487" s="17"/>
      <c r="AG487" s="17"/>
      <c r="AH487" s="17"/>
      <c r="AI487" s="17"/>
      <c r="AJ487" s="17"/>
    </row>
    <row r="488" spans="2:36" ht="14.25" customHeight="1" x14ac:dyDescent="0.2">
      <c r="B488" s="16"/>
      <c r="AC488" s="17"/>
      <c r="AD488" s="17"/>
      <c r="AE488" s="17"/>
      <c r="AF488" s="17"/>
      <c r="AG488" s="17"/>
      <c r="AH488" s="17"/>
      <c r="AI488" s="17"/>
      <c r="AJ488" s="17"/>
    </row>
    <row r="489" spans="2:36" ht="14.25" customHeight="1" x14ac:dyDescent="0.2">
      <c r="B489" s="16"/>
      <c r="AC489" s="17"/>
      <c r="AD489" s="17"/>
      <c r="AE489" s="17"/>
      <c r="AF489" s="17"/>
      <c r="AG489" s="17"/>
      <c r="AH489" s="17"/>
      <c r="AI489" s="17"/>
      <c r="AJ489" s="17"/>
    </row>
    <row r="490" spans="2:36" ht="14.25" customHeight="1" x14ac:dyDescent="0.2">
      <c r="B490" s="16"/>
      <c r="AC490" s="17"/>
      <c r="AD490" s="17"/>
      <c r="AE490" s="17"/>
      <c r="AF490" s="17"/>
      <c r="AG490" s="17"/>
      <c r="AH490" s="17"/>
      <c r="AI490" s="17"/>
      <c r="AJ490" s="17"/>
    </row>
    <row r="491" spans="2:36" ht="14.25" customHeight="1" x14ac:dyDescent="0.2">
      <c r="B491" s="16"/>
      <c r="AC491" s="17"/>
      <c r="AD491" s="17"/>
      <c r="AE491" s="17"/>
      <c r="AF491" s="17"/>
      <c r="AG491" s="17"/>
      <c r="AH491" s="17"/>
      <c r="AI491" s="17"/>
      <c r="AJ491" s="17"/>
    </row>
    <row r="492" spans="2:36" ht="14.25" customHeight="1" x14ac:dyDescent="0.2">
      <c r="B492" s="16"/>
      <c r="AC492" s="17"/>
      <c r="AD492" s="17"/>
      <c r="AE492" s="17"/>
      <c r="AF492" s="17"/>
      <c r="AG492" s="17"/>
      <c r="AH492" s="17"/>
      <c r="AI492" s="17"/>
      <c r="AJ492" s="17"/>
    </row>
    <row r="493" spans="2:36" ht="14.25" customHeight="1" x14ac:dyDescent="0.2">
      <c r="B493" s="16"/>
      <c r="AC493" s="17"/>
      <c r="AD493" s="17"/>
      <c r="AE493" s="17"/>
      <c r="AF493" s="17"/>
      <c r="AG493" s="17"/>
      <c r="AH493" s="17"/>
      <c r="AI493" s="17"/>
      <c r="AJ493" s="17"/>
    </row>
    <row r="494" spans="2:36" ht="14.25" customHeight="1" x14ac:dyDescent="0.2">
      <c r="B494" s="16"/>
      <c r="AC494" s="17"/>
      <c r="AD494" s="17"/>
      <c r="AE494" s="17"/>
      <c r="AF494" s="17"/>
      <c r="AG494" s="17"/>
      <c r="AH494" s="17"/>
      <c r="AI494" s="17"/>
      <c r="AJ494" s="17"/>
    </row>
    <row r="495" spans="2:36" ht="14.25" customHeight="1" x14ac:dyDescent="0.2">
      <c r="B495" s="16"/>
      <c r="AC495" s="17"/>
      <c r="AD495" s="17"/>
      <c r="AE495" s="17"/>
      <c r="AF495" s="17"/>
      <c r="AG495" s="17"/>
      <c r="AH495" s="17"/>
      <c r="AI495" s="17"/>
      <c r="AJ495" s="17"/>
    </row>
    <row r="496" spans="2:36" ht="14.25" customHeight="1" x14ac:dyDescent="0.2">
      <c r="B496" s="16"/>
      <c r="AC496" s="17"/>
      <c r="AD496" s="17"/>
      <c r="AE496" s="17"/>
      <c r="AF496" s="17"/>
      <c r="AG496" s="17"/>
      <c r="AH496" s="17"/>
      <c r="AI496" s="17"/>
      <c r="AJ496" s="17"/>
    </row>
    <row r="497" spans="2:36" ht="14.25" customHeight="1" x14ac:dyDescent="0.2">
      <c r="B497" s="16"/>
      <c r="AC497" s="17"/>
      <c r="AD497" s="17"/>
      <c r="AE497" s="17"/>
      <c r="AF497" s="17"/>
      <c r="AG497" s="17"/>
      <c r="AH497" s="17"/>
      <c r="AI497" s="17"/>
      <c r="AJ497" s="17"/>
    </row>
    <row r="498" spans="2:36" ht="14.25" customHeight="1" x14ac:dyDescent="0.2">
      <c r="B498" s="16"/>
      <c r="AC498" s="17"/>
      <c r="AD498" s="17"/>
      <c r="AE498" s="17"/>
      <c r="AF498" s="17"/>
      <c r="AG498" s="17"/>
      <c r="AH498" s="17"/>
      <c r="AI498" s="17"/>
      <c r="AJ498" s="17"/>
    </row>
    <row r="499" spans="2:36" ht="14.25" customHeight="1" x14ac:dyDescent="0.2">
      <c r="B499" s="16"/>
      <c r="AC499" s="17"/>
      <c r="AD499" s="17"/>
      <c r="AE499" s="17"/>
      <c r="AF499" s="17"/>
      <c r="AG499" s="17"/>
      <c r="AH499" s="17"/>
      <c r="AI499" s="17"/>
      <c r="AJ499" s="17"/>
    </row>
    <row r="500" spans="2:36" ht="14.25" customHeight="1" x14ac:dyDescent="0.2">
      <c r="B500" s="16"/>
      <c r="AC500" s="17"/>
      <c r="AD500" s="17"/>
      <c r="AE500" s="17"/>
      <c r="AF500" s="17"/>
      <c r="AG500" s="17"/>
      <c r="AH500" s="17"/>
      <c r="AI500" s="17"/>
      <c r="AJ500" s="17"/>
    </row>
    <row r="501" spans="2:36" ht="14.25" customHeight="1" x14ac:dyDescent="0.2">
      <c r="B501" s="16"/>
      <c r="AC501" s="17"/>
      <c r="AD501" s="17"/>
      <c r="AE501" s="17"/>
      <c r="AF501" s="17"/>
      <c r="AG501" s="17"/>
      <c r="AH501" s="17"/>
      <c r="AI501" s="17"/>
      <c r="AJ501" s="17"/>
    </row>
    <row r="502" spans="2:36" ht="14.25" customHeight="1" x14ac:dyDescent="0.2">
      <c r="B502" s="16"/>
      <c r="AC502" s="17"/>
      <c r="AD502" s="17"/>
      <c r="AE502" s="17"/>
      <c r="AF502" s="17"/>
      <c r="AG502" s="17"/>
      <c r="AH502" s="17"/>
      <c r="AI502" s="17"/>
      <c r="AJ502" s="17"/>
    </row>
    <row r="503" spans="2:36" ht="14.25" customHeight="1" x14ac:dyDescent="0.2">
      <c r="B503" s="16"/>
      <c r="AC503" s="17"/>
      <c r="AD503" s="17"/>
      <c r="AE503" s="17"/>
      <c r="AF503" s="17"/>
      <c r="AG503" s="17"/>
      <c r="AH503" s="17"/>
      <c r="AI503" s="17"/>
      <c r="AJ503" s="17"/>
    </row>
    <row r="504" spans="2:36" ht="14.25" customHeight="1" x14ac:dyDescent="0.2">
      <c r="B504" s="16"/>
      <c r="AC504" s="17"/>
      <c r="AD504" s="17"/>
      <c r="AE504" s="17"/>
      <c r="AF504" s="17"/>
      <c r="AG504" s="17"/>
      <c r="AH504" s="17"/>
      <c r="AI504" s="17"/>
      <c r="AJ504" s="17"/>
    </row>
    <row r="505" spans="2:36" ht="14.25" customHeight="1" x14ac:dyDescent="0.2">
      <c r="B505" s="16"/>
      <c r="AC505" s="17"/>
      <c r="AD505" s="17"/>
      <c r="AE505" s="17"/>
      <c r="AF505" s="17"/>
      <c r="AG505" s="17"/>
      <c r="AH505" s="17"/>
      <c r="AI505" s="17"/>
      <c r="AJ505" s="17"/>
    </row>
    <row r="506" spans="2:36" ht="14.25" customHeight="1" x14ac:dyDescent="0.2">
      <c r="B506" s="16"/>
      <c r="AC506" s="17"/>
      <c r="AD506" s="17"/>
      <c r="AE506" s="17"/>
      <c r="AF506" s="17"/>
      <c r="AG506" s="17"/>
      <c r="AH506" s="17"/>
      <c r="AI506" s="17"/>
      <c r="AJ506" s="17"/>
    </row>
    <row r="507" spans="2:36" ht="14.25" customHeight="1" x14ac:dyDescent="0.2">
      <c r="B507" s="16"/>
      <c r="AC507" s="17"/>
      <c r="AD507" s="17"/>
      <c r="AE507" s="17"/>
      <c r="AF507" s="17"/>
      <c r="AG507" s="17"/>
      <c r="AH507" s="17"/>
      <c r="AI507" s="17"/>
      <c r="AJ507" s="17"/>
    </row>
    <row r="508" spans="2:36" ht="14.25" customHeight="1" x14ac:dyDescent="0.2">
      <c r="B508" s="16"/>
      <c r="AC508" s="17"/>
      <c r="AD508" s="17"/>
      <c r="AE508" s="17"/>
      <c r="AF508" s="17"/>
      <c r="AG508" s="17"/>
      <c r="AH508" s="17"/>
      <c r="AI508" s="17"/>
      <c r="AJ508" s="17"/>
    </row>
    <row r="509" spans="2:36" ht="14.25" customHeight="1" x14ac:dyDescent="0.2">
      <c r="B509" s="16"/>
      <c r="AC509" s="17"/>
      <c r="AD509" s="17"/>
      <c r="AE509" s="17"/>
      <c r="AF509" s="17"/>
      <c r="AG509" s="17"/>
      <c r="AH509" s="17"/>
      <c r="AI509" s="17"/>
      <c r="AJ509" s="17"/>
    </row>
    <row r="510" spans="2:36" ht="14.25" customHeight="1" x14ac:dyDescent="0.2">
      <c r="B510" s="16"/>
      <c r="AC510" s="17"/>
      <c r="AD510" s="17"/>
      <c r="AE510" s="17"/>
      <c r="AF510" s="17"/>
      <c r="AG510" s="17"/>
      <c r="AH510" s="17"/>
      <c r="AI510" s="17"/>
      <c r="AJ510" s="17"/>
    </row>
    <row r="511" spans="2:36" ht="14.25" customHeight="1" x14ac:dyDescent="0.2">
      <c r="B511" s="16"/>
      <c r="AC511" s="17"/>
      <c r="AD511" s="17"/>
      <c r="AE511" s="17"/>
      <c r="AF511" s="17"/>
      <c r="AG511" s="17"/>
      <c r="AH511" s="17"/>
      <c r="AI511" s="17"/>
      <c r="AJ511" s="17"/>
    </row>
    <row r="512" spans="2:36" ht="14.25" customHeight="1" x14ac:dyDescent="0.2">
      <c r="B512" s="16"/>
      <c r="AC512" s="17"/>
      <c r="AD512" s="17"/>
      <c r="AE512" s="17"/>
      <c r="AF512" s="17"/>
      <c r="AG512" s="17"/>
      <c r="AH512" s="17"/>
      <c r="AI512" s="17"/>
      <c r="AJ512" s="17"/>
    </row>
    <row r="513" spans="2:36" ht="14.25" customHeight="1" x14ac:dyDescent="0.2">
      <c r="B513" s="16"/>
      <c r="AC513" s="17"/>
      <c r="AD513" s="17"/>
      <c r="AE513" s="17"/>
      <c r="AF513" s="17"/>
      <c r="AG513" s="17"/>
      <c r="AH513" s="17"/>
      <c r="AI513" s="17"/>
      <c r="AJ513" s="17"/>
    </row>
    <row r="514" spans="2:36" ht="14.25" customHeight="1" x14ac:dyDescent="0.2">
      <c r="B514" s="16"/>
      <c r="AC514" s="17"/>
      <c r="AD514" s="17"/>
      <c r="AE514" s="17"/>
      <c r="AF514" s="17"/>
      <c r="AG514" s="17"/>
      <c r="AH514" s="17"/>
      <c r="AI514" s="17"/>
      <c r="AJ514" s="17"/>
    </row>
    <row r="515" spans="2:36" ht="14.25" customHeight="1" x14ac:dyDescent="0.2">
      <c r="B515" s="16"/>
      <c r="AC515" s="17"/>
      <c r="AD515" s="17"/>
      <c r="AE515" s="17"/>
      <c r="AF515" s="17"/>
      <c r="AG515" s="17"/>
      <c r="AH515" s="17"/>
      <c r="AI515" s="17"/>
      <c r="AJ515" s="17"/>
    </row>
    <row r="516" spans="2:36" ht="14.25" customHeight="1" x14ac:dyDescent="0.2">
      <c r="B516" s="16"/>
      <c r="AC516" s="17"/>
      <c r="AD516" s="17"/>
      <c r="AE516" s="17"/>
      <c r="AF516" s="17"/>
      <c r="AG516" s="17"/>
      <c r="AH516" s="17"/>
      <c r="AI516" s="17"/>
      <c r="AJ516" s="17"/>
    </row>
    <row r="517" spans="2:36" ht="14.25" customHeight="1" x14ac:dyDescent="0.2">
      <c r="B517" s="16"/>
      <c r="AC517" s="17"/>
      <c r="AD517" s="17"/>
      <c r="AE517" s="17"/>
      <c r="AF517" s="17"/>
      <c r="AG517" s="17"/>
      <c r="AH517" s="17"/>
      <c r="AI517" s="17"/>
      <c r="AJ517" s="17"/>
    </row>
    <row r="518" spans="2:36" ht="14.25" customHeight="1" x14ac:dyDescent="0.2">
      <c r="B518" s="16"/>
      <c r="AC518" s="17"/>
      <c r="AD518" s="17"/>
      <c r="AE518" s="17"/>
      <c r="AF518" s="17"/>
      <c r="AG518" s="17"/>
      <c r="AH518" s="17"/>
      <c r="AI518" s="17"/>
      <c r="AJ518" s="17"/>
    </row>
    <row r="519" spans="2:36" ht="14.25" customHeight="1" x14ac:dyDescent="0.2">
      <c r="B519" s="16"/>
      <c r="AC519" s="17"/>
      <c r="AD519" s="17"/>
      <c r="AE519" s="17"/>
      <c r="AF519" s="17"/>
      <c r="AG519" s="17"/>
      <c r="AH519" s="17"/>
      <c r="AI519" s="17"/>
      <c r="AJ519" s="17"/>
    </row>
    <row r="520" spans="2:36" ht="14.25" customHeight="1" x14ac:dyDescent="0.2">
      <c r="B520" s="16"/>
      <c r="AC520" s="17"/>
      <c r="AD520" s="17"/>
      <c r="AE520" s="17"/>
      <c r="AF520" s="17"/>
      <c r="AG520" s="17"/>
      <c r="AH520" s="17"/>
      <c r="AI520" s="17"/>
      <c r="AJ520" s="17"/>
    </row>
    <row r="521" spans="2:36" ht="14.25" customHeight="1" x14ac:dyDescent="0.2">
      <c r="B521" s="16"/>
      <c r="AC521" s="17"/>
      <c r="AD521" s="17"/>
      <c r="AE521" s="17"/>
      <c r="AF521" s="17"/>
      <c r="AG521" s="17"/>
      <c r="AH521" s="17"/>
      <c r="AI521" s="17"/>
      <c r="AJ521" s="17"/>
    </row>
    <row r="522" spans="2:36" ht="14.25" customHeight="1" x14ac:dyDescent="0.2">
      <c r="B522" s="16"/>
      <c r="AC522" s="17"/>
      <c r="AD522" s="17"/>
      <c r="AE522" s="17"/>
      <c r="AF522" s="17"/>
      <c r="AG522" s="17"/>
      <c r="AH522" s="17"/>
      <c r="AI522" s="17"/>
      <c r="AJ522" s="17"/>
    </row>
    <row r="523" spans="2:36" ht="14.25" customHeight="1" x14ac:dyDescent="0.2">
      <c r="B523" s="16"/>
      <c r="AC523" s="17"/>
      <c r="AD523" s="17"/>
      <c r="AE523" s="17"/>
      <c r="AF523" s="17"/>
      <c r="AG523" s="17"/>
      <c r="AH523" s="17"/>
      <c r="AI523" s="17"/>
      <c r="AJ523" s="17"/>
    </row>
    <row r="524" spans="2:36" ht="14.25" customHeight="1" x14ac:dyDescent="0.2">
      <c r="B524" s="16"/>
      <c r="AC524" s="17"/>
      <c r="AD524" s="17"/>
      <c r="AE524" s="17"/>
      <c r="AF524" s="17"/>
      <c r="AG524" s="17"/>
      <c r="AH524" s="17"/>
      <c r="AI524" s="17"/>
      <c r="AJ524" s="17"/>
    </row>
    <row r="525" spans="2:36" ht="14.25" customHeight="1" x14ac:dyDescent="0.2">
      <c r="B525" s="16"/>
      <c r="AC525" s="17"/>
      <c r="AD525" s="17"/>
      <c r="AE525" s="17"/>
      <c r="AF525" s="17"/>
      <c r="AG525" s="17"/>
      <c r="AH525" s="17"/>
      <c r="AI525" s="17"/>
      <c r="AJ525" s="17"/>
    </row>
    <row r="526" spans="2:36" ht="14.25" customHeight="1" x14ac:dyDescent="0.2">
      <c r="B526" s="16"/>
      <c r="AC526" s="17"/>
      <c r="AD526" s="17"/>
      <c r="AE526" s="17"/>
      <c r="AF526" s="17"/>
      <c r="AG526" s="17"/>
      <c r="AH526" s="17"/>
      <c r="AI526" s="17"/>
      <c r="AJ526" s="17"/>
    </row>
    <row r="527" spans="2:36" ht="14.25" customHeight="1" x14ac:dyDescent="0.2">
      <c r="B527" s="16"/>
      <c r="AC527" s="17"/>
      <c r="AD527" s="17"/>
      <c r="AE527" s="17"/>
      <c r="AF527" s="17"/>
      <c r="AG527" s="17"/>
      <c r="AH527" s="17"/>
      <c r="AI527" s="17"/>
      <c r="AJ527" s="17"/>
    </row>
    <row r="528" spans="2:36" ht="14.25" customHeight="1" x14ac:dyDescent="0.2">
      <c r="B528" s="16"/>
      <c r="AC528" s="17"/>
      <c r="AD528" s="17"/>
      <c r="AE528" s="17"/>
      <c r="AF528" s="17"/>
      <c r="AG528" s="17"/>
      <c r="AH528" s="17"/>
      <c r="AI528" s="17"/>
      <c r="AJ528" s="17"/>
    </row>
    <row r="529" spans="2:36" ht="14.25" customHeight="1" x14ac:dyDescent="0.2">
      <c r="B529" s="16"/>
      <c r="AC529" s="17"/>
      <c r="AD529" s="17"/>
      <c r="AE529" s="17"/>
      <c r="AF529" s="17"/>
      <c r="AG529" s="17"/>
      <c r="AH529" s="17"/>
      <c r="AI529" s="17"/>
      <c r="AJ529" s="17"/>
    </row>
    <row r="530" spans="2:36" ht="14.25" customHeight="1" x14ac:dyDescent="0.2">
      <c r="B530" s="16"/>
      <c r="AC530" s="17"/>
      <c r="AD530" s="17"/>
      <c r="AE530" s="17"/>
      <c r="AF530" s="17"/>
      <c r="AG530" s="17"/>
      <c r="AH530" s="17"/>
      <c r="AI530" s="17"/>
      <c r="AJ530" s="17"/>
    </row>
    <row r="531" spans="2:36" ht="14.25" customHeight="1" x14ac:dyDescent="0.2">
      <c r="B531" s="16"/>
      <c r="AC531" s="17"/>
      <c r="AD531" s="17"/>
      <c r="AE531" s="17"/>
      <c r="AF531" s="17"/>
      <c r="AG531" s="17"/>
      <c r="AH531" s="17"/>
      <c r="AI531" s="17"/>
      <c r="AJ531" s="17"/>
    </row>
    <row r="532" spans="2:36" ht="14.25" customHeight="1" x14ac:dyDescent="0.2">
      <c r="B532" s="16"/>
      <c r="AC532" s="17"/>
      <c r="AD532" s="17"/>
      <c r="AE532" s="17"/>
      <c r="AF532" s="17"/>
      <c r="AG532" s="17"/>
      <c r="AH532" s="17"/>
      <c r="AI532" s="17"/>
      <c r="AJ532" s="17"/>
    </row>
    <row r="533" spans="2:36" ht="14.25" customHeight="1" x14ac:dyDescent="0.2">
      <c r="B533" s="16"/>
      <c r="AC533" s="17"/>
      <c r="AD533" s="17"/>
      <c r="AE533" s="17"/>
      <c r="AF533" s="17"/>
      <c r="AG533" s="17"/>
      <c r="AH533" s="17"/>
      <c r="AI533" s="17"/>
      <c r="AJ533" s="17"/>
    </row>
    <row r="534" spans="2:36" ht="14.25" customHeight="1" x14ac:dyDescent="0.2">
      <c r="B534" s="16"/>
      <c r="AC534" s="17"/>
      <c r="AD534" s="17"/>
      <c r="AE534" s="17"/>
      <c r="AF534" s="17"/>
      <c r="AG534" s="17"/>
      <c r="AH534" s="17"/>
      <c r="AI534" s="17"/>
      <c r="AJ534" s="17"/>
    </row>
    <row r="535" spans="2:36" ht="14.25" customHeight="1" x14ac:dyDescent="0.2">
      <c r="B535" s="16"/>
      <c r="AC535" s="17"/>
      <c r="AD535" s="17"/>
      <c r="AE535" s="17"/>
      <c r="AF535" s="17"/>
      <c r="AG535" s="17"/>
      <c r="AH535" s="17"/>
      <c r="AI535" s="17"/>
      <c r="AJ535" s="17"/>
    </row>
    <row r="536" spans="2:36" ht="14.25" customHeight="1" x14ac:dyDescent="0.2">
      <c r="B536" s="16"/>
      <c r="AC536" s="17"/>
      <c r="AD536" s="17"/>
      <c r="AE536" s="17"/>
      <c r="AF536" s="17"/>
      <c r="AG536" s="17"/>
      <c r="AH536" s="17"/>
      <c r="AI536" s="17"/>
      <c r="AJ536" s="17"/>
    </row>
    <row r="537" spans="2:36" ht="14.25" customHeight="1" x14ac:dyDescent="0.2">
      <c r="B537" s="16"/>
      <c r="AC537" s="17"/>
      <c r="AD537" s="17"/>
      <c r="AE537" s="17"/>
      <c r="AF537" s="17"/>
      <c r="AG537" s="17"/>
      <c r="AH537" s="17"/>
      <c r="AI537" s="17"/>
      <c r="AJ537" s="17"/>
    </row>
    <row r="538" spans="2:36" ht="14.25" customHeight="1" x14ac:dyDescent="0.2">
      <c r="B538" s="16"/>
      <c r="AC538" s="17"/>
      <c r="AD538" s="17"/>
      <c r="AE538" s="17"/>
      <c r="AF538" s="17"/>
      <c r="AG538" s="17"/>
      <c r="AH538" s="17"/>
      <c r="AI538" s="17"/>
      <c r="AJ538" s="17"/>
    </row>
    <row r="539" spans="2:36" ht="14.25" customHeight="1" x14ac:dyDescent="0.2">
      <c r="B539" s="16"/>
      <c r="AC539" s="17"/>
      <c r="AD539" s="17"/>
      <c r="AE539" s="17"/>
      <c r="AF539" s="17"/>
      <c r="AG539" s="17"/>
      <c r="AH539" s="17"/>
      <c r="AI539" s="17"/>
      <c r="AJ539" s="17"/>
    </row>
    <row r="540" spans="2:36" ht="14.25" customHeight="1" x14ac:dyDescent="0.2">
      <c r="B540" s="16"/>
      <c r="AC540" s="17"/>
      <c r="AD540" s="17"/>
      <c r="AE540" s="17"/>
      <c r="AF540" s="17"/>
      <c r="AG540" s="17"/>
      <c r="AH540" s="17"/>
      <c r="AI540" s="17"/>
      <c r="AJ540" s="17"/>
    </row>
    <row r="541" spans="2:36" ht="14.25" customHeight="1" x14ac:dyDescent="0.2">
      <c r="B541" s="16"/>
      <c r="AC541" s="17"/>
      <c r="AD541" s="17"/>
      <c r="AE541" s="17"/>
      <c r="AF541" s="17"/>
      <c r="AG541" s="17"/>
      <c r="AH541" s="17"/>
      <c r="AI541" s="17"/>
      <c r="AJ541" s="17"/>
    </row>
    <row r="542" spans="2:36" ht="14.25" customHeight="1" x14ac:dyDescent="0.2">
      <c r="B542" s="16"/>
      <c r="AC542" s="17"/>
      <c r="AD542" s="17"/>
      <c r="AE542" s="17"/>
      <c r="AF542" s="17"/>
      <c r="AG542" s="17"/>
      <c r="AH542" s="17"/>
      <c r="AI542" s="17"/>
      <c r="AJ542" s="17"/>
    </row>
    <row r="543" spans="2:36" ht="14.25" customHeight="1" x14ac:dyDescent="0.2">
      <c r="B543" s="16"/>
      <c r="AC543" s="17"/>
      <c r="AD543" s="17"/>
      <c r="AE543" s="17"/>
      <c r="AF543" s="17"/>
      <c r="AG543" s="17"/>
      <c r="AH543" s="17"/>
      <c r="AI543" s="17"/>
      <c r="AJ543" s="17"/>
    </row>
    <row r="544" spans="2:36" ht="14.25" customHeight="1" x14ac:dyDescent="0.2">
      <c r="B544" s="16"/>
      <c r="AC544" s="17"/>
      <c r="AD544" s="17"/>
      <c r="AE544" s="17"/>
      <c r="AF544" s="17"/>
      <c r="AG544" s="17"/>
      <c r="AH544" s="17"/>
      <c r="AI544" s="17"/>
      <c r="AJ544" s="17"/>
    </row>
    <row r="545" spans="2:36" ht="14.25" customHeight="1" x14ac:dyDescent="0.2">
      <c r="B545" s="16"/>
      <c r="AC545" s="17"/>
      <c r="AD545" s="17"/>
      <c r="AE545" s="17"/>
      <c r="AF545" s="17"/>
      <c r="AG545" s="17"/>
      <c r="AH545" s="17"/>
      <c r="AI545" s="17"/>
      <c r="AJ545" s="17"/>
    </row>
    <row r="546" spans="2:36" ht="14.25" customHeight="1" x14ac:dyDescent="0.2">
      <c r="B546" s="16"/>
      <c r="AC546" s="17"/>
      <c r="AD546" s="17"/>
      <c r="AE546" s="17"/>
      <c r="AF546" s="17"/>
      <c r="AG546" s="17"/>
      <c r="AH546" s="17"/>
      <c r="AI546" s="17"/>
      <c r="AJ546" s="17"/>
    </row>
    <row r="547" spans="2:36" ht="14.25" customHeight="1" x14ac:dyDescent="0.2">
      <c r="B547" s="16"/>
      <c r="AC547" s="17"/>
      <c r="AD547" s="17"/>
      <c r="AE547" s="17"/>
      <c r="AF547" s="17"/>
      <c r="AG547" s="17"/>
      <c r="AH547" s="17"/>
      <c r="AI547" s="17"/>
      <c r="AJ547" s="17"/>
    </row>
    <row r="548" spans="2:36" ht="14.25" customHeight="1" x14ac:dyDescent="0.2">
      <c r="B548" s="16"/>
      <c r="AC548" s="17"/>
      <c r="AD548" s="17"/>
      <c r="AE548" s="17"/>
      <c r="AF548" s="17"/>
      <c r="AG548" s="17"/>
      <c r="AH548" s="17"/>
      <c r="AI548" s="17"/>
      <c r="AJ548" s="17"/>
    </row>
    <row r="549" spans="2:36" ht="14.25" customHeight="1" x14ac:dyDescent="0.2">
      <c r="B549" s="16"/>
      <c r="AC549" s="17"/>
      <c r="AD549" s="17"/>
      <c r="AE549" s="17"/>
      <c r="AF549" s="17"/>
      <c r="AG549" s="17"/>
      <c r="AH549" s="17"/>
      <c r="AI549" s="17"/>
      <c r="AJ549" s="17"/>
    </row>
    <row r="550" spans="2:36" ht="14.25" customHeight="1" x14ac:dyDescent="0.2">
      <c r="B550" s="16"/>
      <c r="AC550" s="17"/>
      <c r="AD550" s="17"/>
      <c r="AE550" s="17"/>
      <c r="AF550" s="17"/>
      <c r="AG550" s="17"/>
      <c r="AH550" s="17"/>
      <c r="AI550" s="17"/>
      <c r="AJ550" s="17"/>
    </row>
    <row r="551" spans="2:36" ht="14.25" customHeight="1" x14ac:dyDescent="0.2">
      <c r="B551" s="16"/>
      <c r="AC551" s="17"/>
      <c r="AD551" s="17"/>
      <c r="AE551" s="17"/>
      <c r="AF551" s="17"/>
      <c r="AG551" s="17"/>
      <c r="AH551" s="17"/>
      <c r="AI551" s="17"/>
      <c r="AJ551" s="17"/>
    </row>
    <row r="552" spans="2:36" ht="14.25" customHeight="1" x14ac:dyDescent="0.2">
      <c r="B552" s="16"/>
      <c r="AC552" s="17"/>
      <c r="AD552" s="17"/>
      <c r="AE552" s="17"/>
      <c r="AF552" s="17"/>
      <c r="AG552" s="17"/>
      <c r="AH552" s="17"/>
      <c r="AI552" s="17"/>
      <c r="AJ552" s="17"/>
    </row>
    <row r="553" spans="2:36" ht="14.25" customHeight="1" x14ac:dyDescent="0.2">
      <c r="B553" s="16"/>
      <c r="AC553" s="17"/>
      <c r="AD553" s="17"/>
      <c r="AE553" s="17"/>
      <c r="AF553" s="17"/>
      <c r="AG553" s="17"/>
      <c r="AH553" s="17"/>
      <c r="AI553" s="17"/>
      <c r="AJ553" s="17"/>
    </row>
    <row r="554" spans="2:36" ht="14.25" customHeight="1" x14ac:dyDescent="0.2">
      <c r="B554" s="16"/>
      <c r="AC554" s="17"/>
      <c r="AD554" s="17"/>
      <c r="AE554" s="17"/>
      <c r="AF554" s="17"/>
      <c r="AG554" s="17"/>
      <c r="AH554" s="17"/>
      <c r="AI554" s="17"/>
      <c r="AJ554" s="17"/>
    </row>
    <row r="555" spans="2:36" ht="14.25" customHeight="1" x14ac:dyDescent="0.2">
      <c r="B555" s="16"/>
      <c r="AC555" s="17"/>
      <c r="AD555" s="17"/>
      <c r="AE555" s="17"/>
      <c r="AF555" s="17"/>
      <c r="AG555" s="17"/>
      <c r="AH555" s="17"/>
      <c r="AI555" s="17"/>
      <c r="AJ555" s="17"/>
    </row>
    <row r="556" spans="2:36" ht="14.25" customHeight="1" x14ac:dyDescent="0.2">
      <c r="B556" s="16"/>
      <c r="AC556" s="17"/>
      <c r="AD556" s="17"/>
      <c r="AE556" s="17"/>
      <c r="AF556" s="17"/>
      <c r="AG556" s="17"/>
      <c r="AH556" s="17"/>
      <c r="AI556" s="17"/>
      <c r="AJ556" s="17"/>
    </row>
    <row r="557" spans="2:36" ht="14.25" customHeight="1" x14ac:dyDescent="0.2">
      <c r="B557" s="16"/>
      <c r="AC557" s="17"/>
      <c r="AD557" s="17"/>
      <c r="AE557" s="17"/>
      <c r="AF557" s="17"/>
      <c r="AG557" s="17"/>
      <c r="AH557" s="17"/>
      <c r="AI557" s="17"/>
      <c r="AJ557" s="17"/>
    </row>
    <row r="558" spans="2:36" ht="14.25" customHeight="1" x14ac:dyDescent="0.2">
      <c r="B558" s="16"/>
      <c r="AC558" s="17"/>
      <c r="AD558" s="17"/>
      <c r="AE558" s="17"/>
      <c r="AF558" s="17"/>
      <c r="AG558" s="17"/>
      <c r="AH558" s="17"/>
      <c r="AI558" s="17"/>
      <c r="AJ558" s="17"/>
    </row>
    <row r="559" spans="2:36" ht="14.25" customHeight="1" x14ac:dyDescent="0.2">
      <c r="B559" s="16"/>
      <c r="AC559" s="17"/>
      <c r="AD559" s="17"/>
      <c r="AE559" s="17"/>
      <c r="AF559" s="17"/>
      <c r="AG559" s="17"/>
      <c r="AH559" s="17"/>
      <c r="AI559" s="17"/>
      <c r="AJ559" s="17"/>
    </row>
    <row r="560" spans="2:36" ht="14.25" customHeight="1" x14ac:dyDescent="0.2">
      <c r="B560" s="16"/>
      <c r="AC560" s="17"/>
      <c r="AD560" s="17"/>
      <c r="AE560" s="17"/>
      <c r="AF560" s="17"/>
      <c r="AG560" s="17"/>
      <c r="AH560" s="17"/>
      <c r="AI560" s="17"/>
      <c r="AJ560" s="17"/>
    </row>
    <row r="561" spans="2:36" ht="14.25" customHeight="1" x14ac:dyDescent="0.2">
      <c r="B561" s="16"/>
      <c r="AC561" s="17"/>
      <c r="AD561" s="17"/>
      <c r="AE561" s="17"/>
      <c r="AF561" s="17"/>
      <c r="AG561" s="17"/>
      <c r="AH561" s="17"/>
      <c r="AI561" s="17"/>
      <c r="AJ561" s="17"/>
    </row>
    <row r="562" spans="2:36" ht="14.25" customHeight="1" x14ac:dyDescent="0.2">
      <c r="B562" s="16"/>
      <c r="AC562" s="17"/>
      <c r="AD562" s="17"/>
      <c r="AE562" s="17"/>
      <c r="AF562" s="17"/>
      <c r="AG562" s="17"/>
      <c r="AH562" s="17"/>
      <c r="AI562" s="17"/>
      <c r="AJ562" s="17"/>
    </row>
    <row r="563" spans="2:36" ht="14.25" customHeight="1" x14ac:dyDescent="0.2">
      <c r="B563" s="16"/>
      <c r="AC563" s="17"/>
      <c r="AD563" s="17"/>
      <c r="AE563" s="17"/>
      <c r="AF563" s="17"/>
      <c r="AG563" s="17"/>
      <c r="AH563" s="17"/>
      <c r="AI563" s="17"/>
      <c r="AJ563" s="17"/>
    </row>
    <row r="564" spans="2:36" ht="14.25" customHeight="1" x14ac:dyDescent="0.2">
      <c r="B564" s="16"/>
      <c r="AC564" s="17"/>
      <c r="AD564" s="17"/>
      <c r="AE564" s="17"/>
      <c r="AF564" s="17"/>
      <c r="AG564" s="17"/>
      <c r="AH564" s="17"/>
      <c r="AI564" s="17"/>
      <c r="AJ564" s="17"/>
    </row>
    <row r="565" spans="2:36" ht="14.25" customHeight="1" x14ac:dyDescent="0.2">
      <c r="B565" s="16"/>
      <c r="AC565" s="17"/>
      <c r="AD565" s="17"/>
      <c r="AE565" s="17"/>
      <c r="AF565" s="17"/>
      <c r="AG565" s="17"/>
      <c r="AH565" s="17"/>
      <c r="AI565" s="17"/>
      <c r="AJ565" s="17"/>
    </row>
    <row r="566" spans="2:36" ht="14.25" customHeight="1" x14ac:dyDescent="0.2">
      <c r="B566" s="16"/>
      <c r="AC566" s="17"/>
      <c r="AD566" s="17"/>
      <c r="AE566" s="17"/>
      <c r="AF566" s="17"/>
      <c r="AG566" s="17"/>
      <c r="AH566" s="17"/>
      <c r="AI566" s="17"/>
      <c r="AJ566" s="17"/>
    </row>
    <row r="567" spans="2:36" ht="14.25" customHeight="1" x14ac:dyDescent="0.2">
      <c r="B567" s="16"/>
      <c r="AC567" s="17"/>
      <c r="AD567" s="17"/>
      <c r="AE567" s="17"/>
      <c r="AF567" s="17"/>
      <c r="AG567" s="17"/>
      <c r="AH567" s="17"/>
      <c r="AI567" s="17"/>
      <c r="AJ567" s="17"/>
    </row>
    <row r="568" spans="2:36" ht="14.25" customHeight="1" x14ac:dyDescent="0.2">
      <c r="B568" s="16"/>
      <c r="AC568" s="17"/>
      <c r="AD568" s="17"/>
      <c r="AE568" s="17"/>
      <c r="AF568" s="17"/>
      <c r="AG568" s="17"/>
      <c r="AH568" s="17"/>
      <c r="AI568" s="17"/>
      <c r="AJ568" s="17"/>
    </row>
    <row r="569" spans="2:36" ht="14.25" customHeight="1" x14ac:dyDescent="0.2">
      <c r="B569" s="16"/>
      <c r="AC569" s="17"/>
      <c r="AD569" s="17"/>
      <c r="AE569" s="17"/>
      <c r="AF569" s="17"/>
      <c r="AG569" s="17"/>
      <c r="AH569" s="17"/>
      <c r="AI569" s="17"/>
      <c r="AJ569" s="17"/>
    </row>
    <row r="570" spans="2:36" ht="14.25" customHeight="1" x14ac:dyDescent="0.2">
      <c r="B570" s="16"/>
      <c r="AC570" s="17"/>
      <c r="AD570" s="17"/>
      <c r="AE570" s="17"/>
      <c r="AF570" s="17"/>
      <c r="AG570" s="17"/>
      <c r="AH570" s="17"/>
      <c r="AI570" s="17"/>
      <c r="AJ570" s="17"/>
    </row>
    <row r="571" spans="2:36" ht="14.25" customHeight="1" x14ac:dyDescent="0.2">
      <c r="B571" s="16"/>
      <c r="AC571" s="17"/>
      <c r="AD571" s="17"/>
      <c r="AE571" s="17"/>
      <c r="AF571" s="17"/>
      <c r="AG571" s="17"/>
      <c r="AH571" s="17"/>
      <c r="AI571" s="17"/>
      <c r="AJ571" s="17"/>
    </row>
    <row r="572" spans="2:36" ht="14.25" customHeight="1" x14ac:dyDescent="0.2">
      <c r="B572" s="16"/>
      <c r="AC572" s="17"/>
      <c r="AD572" s="17"/>
      <c r="AE572" s="17"/>
      <c r="AF572" s="17"/>
      <c r="AG572" s="17"/>
      <c r="AH572" s="17"/>
      <c r="AI572" s="17"/>
      <c r="AJ572" s="17"/>
    </row>
    <row r="573" spans="2:36" ht="14.25" customHeight="1" x14ac:dyDescent="0.2">
      <c r="B573" s="16"/>
      <c r="AC573" s="17"/>
      <c r="AD573" s="17"/>
      <c r="AE573" s="17"/>
      <c r="AF573" s="17"/>
      <c r="AG573" s="17"/>
      <c r="AH573" s="17"/>
      <c r="AI573" s="17"/>
      <c r="AJ573" s="17"/>
    </row>
    <row r="574" spans="2:36" ht="14.25" customHeight="1" x14ac:dyDescent="0.2">
      <c r="B574" s="16"/>
      <c r="AC574" s="17"/>
      <c r="AD574" s="17"/>
      <c r="AE574" s="17"/>
      <c r="AF574" s="17"/>
      <c r="AG574" s="17"/>
      <c r="AH574" s="17"/>
      <c r="AI574" s="17"/>
      <c r="AJ574" s="17"/>
    </row>
    <row r="575" spans="2:36" ht="14.25" customHeight="1" x14ac:dyDescent="0.2">
      <c r="B575" s="16"/>
      <c r="AC575" s="17"/>
      <c r="AD575" s="17"/>
      <c r="AE575" s="17"/>
      <c r="AF575" s="17"/>
      <c r="AG575" s="17"/>
      <c r="AH575" s="17"/>
      <c r="AI575" s="17"/>
      <c r="AJ575" s="17"/>
    </row>
    <row r="576" spans="2:36" ht="14.25" customHeight="1" x14ac:dyDescent="0.2">
      <c r="B576" s="16"/>
      <c r="AC576" s="17"/>
      <c r="AD576" s="17"/>
      <c r="AE576" s="17"/>
      <c r="AF576" s="17"/>
      <c r="AG576" s="17"/>
      <c r="AH576" s="17"/>
      <c r="AI576" s="17"/>
      <c r="AJ576" s="17"/>
    </row>
    <row r="577" spans="2:36" ht="14.25" customHeight="1" x14ac:dyDescent="0.2">
      <c r="B577" s="16"/>
      <c r="AC577" s="17"/>
      <c r="AD577" s="17"/>
      <c r="AE577" s="17"/>
      <c r="AF577" s="17"/>
      <c r="AG577" s="17"/>
      <c r="AH577" s="17"/>
      <c r="AI577" s="17"/>
      <c r="AJ577" s="17"/>
    </row>
    <row r="578" spans="2:36" ht="14.25" customHeight="1" x14ac:dyDescent="0.2">
      <c r="B578" s="16"/>
      <c r="AC578" s="17"/>
      <c r="AD578" s="17"/>
      <c r="AE578" s="17"/>
      <c r="AF578" s="17"/>
      <c r="AG578" s="17"/>
      <c r="AH578" s="17"/>
      <c r="AI578" s="17"/>
      <c r="AJ578" s="17"/>
    </row>
    <row r="579" spans="2:36" ht="14.25" customHeight="1" x14ac:dyDescent="0.2">
      <c r="B579" s="16"/>
      <c r="AC579" s="17"/>
      <c r="AD579" s="17"/>
      <c r="AE579" s="17"/>
      <c r="AF579" s="17"/>
      <c r="AG579" s="17"/>
      <c r="AH579" s="17"/>
      <c r="AI579" s="17"/>
      <c r="AJ579" s="17"/>
    </row>
    <row r="580" spans="2:36" ht="14.25" customHeight="1" x14ac:dyDescent="0.2">
      <c r="B580" s="16"/>
      <c r="AC580" s="17"/>
      <c r="AD580" s="17"/>
      <c r="AE580" s="17"/>
      <c r="AF580" s="17"/>
      <c r="AG580" s="17"/>
      <c r="AH580" s="17"/>
      <c r="AI580" s="17"/>
      <c r="AJ580" s="17"/>
    </row>
    <row r="581" spans="2:36" ht="14.25" customHeight="1" x14ac:dyDescent="0.2">
      <c r="B581" s="16"/>
      <c r="AC581" s="17"/>
      <c r="AD581" s="17"/>
      <c r="AE581" s="17"/>
      <c r="AF581" s="17"/>
      <c r="AG581" s="17"/>
      <c r="AH581" s="17"/>
      <c r="AI581" s="17"/>
      <c r="AJ581" s="17"/>
    </row>
    <row r="582" spans="2:36" ht="14.25" customHeight="1" x14ac:dyDescent="0.2">
      <c r="B582" s="16"/>
      <c r="AC582" s="17"/>
      <c r="AD582" s="17"/>
      <c r="AE582" s="17"/>
      <c r="AF582" s="17"/>
      <c r="AG582" s="17"/>
      <c r="AH582" s="17"/>
      <c r="AI582" s="17"/>
      <c r="AJ582" s="17"/>
    </row>
    <row r="583" spans="2:36" ht="14.25" customHeight="1" x14ac:dyDescent="0.2">
      <c r="B583" s="16"/>
      <c r="AC583" s="17"/>
      <c r="AD583" s="17"/>
      <c r="AE583" s="17"/>
      <c r="AF583" s="17"/>
      <c r="AG583" s="17"/>
      <c r="AH583" s="17"/>
      <c r="AI583" s="17"/>
      <c r="AJ583" s="17"/>
    </row>
    <row r="584" spans="2:36" ht="14.25" customHeight="1" x14ac:dyDescent="0.2">
      <c r="B584" s="16"/>
      <c r="AC584" s="17"/>
      <c r="AD584" s="17"/>
      <c r="AE584" s="17"/>
      <c r="AF584" s="17"/>
      <c r="AG584" s="17"/>
      <c r="AH584" s="17"/>
      <c r="AI584" s="17"/>
      <c r="AJ584" s="17"/>
    </row>
    <row r="585" spans="2:36" ht="14.25" customHeight="1" x14ac:dyDescent="0.2">
      <c r="B585" s="16"/>
      <c r="AC585" s="17"/>
      <c r="AD585" s="17"/>
      <c r="AE585" s="17"/>
      <c r="AF585" s="17"/>
      <c r="AG585" s="17"/>
      <c r="AH585" s="17"/>
      <c r="AI585" s="17"/>
      <c r="AJ585" s="17"/>
    </row>
    <row r="586" spans="2:36" ht="14.25" customHeight="1" x14ac:dyDescent="0.2">
      <c r="B586" s="16"/>
      <c r="AC586" s="17"/>
      <c r="AD586" s="17"/>
      <c r="AE586" s="17"/>
      <c r="AF586" s="17"/>
      <c r="AG586" s="17"/>
      <c r="AH586" s="17"/>
      <c r="AI586" s="17"/>
      <c r="AJ586" s="17"/>
    </row>
    <row r="587" spans="2:36" ht="14.25" customHeight="1" x14ac:dyDescent="0.2">
      <c r="B587" s="16"/>
      <c r="AC587" s="17"/>
      <c r="AD587" s="17"/>
      <c r="AE587" s="17"/>
      <c r="AF587" s="17"/>
      <c r="AG587" s="17"/>
      <c r="AH587" s="17"/>
      <c r="AI587" s="17"/>
      <c r="AJ587" s="17"/>
    </row>
    <row r="588" spans="2:36" ht="14.25" customHeight="1" x14ac:dyDescent="0.2">
      <c r="B588" s="16"/>
      <c r="AC588" s="17"/>
      <c r="AD588" s="17"/>
      <c r="AE588" s="17"/>
      <c r="AF588" s="17"/>
      <c r="AG588" s="17"/>
      <c r="AH588" s="17"/>
      <c r="AI588" s="17"/>
      <c r="AJ588" s="17"/>
    </row>
    <row r="589" spans="2:36" ht="14.25" customHeight="1" x14ac:dyDescent="0.2">
      <c r="B589" s="16"/>
      <c r="AC589" s="17"/>
      <c r="AD589" s="17"/>
      <c r="AE589" s="17"/>
      <c r="AF589" s="17"/>
      <c r="AG589" s="17"/>
      <c r="AH589" s="17"/>
      <c r="AI589" s="17"/>
      <c r="AJ589" s="17"/>
    </row>
    <row r="590" spans="2:36" ht="14.25" customHeight="1" x14ac:dyDescent="0.2">
      <c r="B590" s="16"/>
      <c r="AC590" s="17"/>
      <c r="AD590" s="17"/>
      <c r="AE590" s="17"/>
      <c r="AF590" s="17"/>
      <c r="AG590" s="17"/>
      <c r="AH590" s="17"/>
      <c r="AI590" s="17"/>
      <c r="AJ590" s="17"/>
    </row>
    <row r="591" spans="2:36" ht="14.25" customHeight="1" x14ac:dyDescent="0.2">
      <c r="B591" s="16"/>
      <c r="AC591" s="17"/>
      <c r="AD591" s="17"/>
      <c r="AE591" s="17"/>
      <c r="AF591" s="17"/>
      <c r="AG591" s="17"/>
      <c r="AH591" s="17"/>
      <c r="AI591" s="17"/>
      <c r="AJ591" s="17"/>
    </row>
    <row r="592" spans="2:36" ht="14.25" customHeight="1" x14ac:dyDescent="0.2">
      <c r="B592" s="16"/>
      <c r="AC592" s="17"/>
      <c r="AD592" s="17"/>
      <c r="AE592" s="17"/>
      <c r="AF592" s="17"/>
      <c r="AG592" s="17"/>
      <c r="AH592" s="17"/>
      <c r="AI592" s="17"/>
      <c r="AJ592" s="17"/>
    </row>
    <row r="593" spans="2:36" ht="14.25" customHeight="1" x14ac:dyDescent="0.2">
      <c r="B593" s="16"/>
      <c r="AC593" s="17"/>
      <c r="AD593" s="17"/>
      <c r="AE593" s="17"/>
      <c r="AF593" s="17"/>
      <c r="AG593" s="17"/>
      <c r="AH593" s="17"/>
      <c r="AI593" s="17"/>
      <c r="AJ593" s="17"/>
    </row>
    <row r="594" spans="2:36" ht="14.25" customHeight="1" x14ac:dyDescent="0.2">
      <c r="B594" s="16"/>
      <c r="AC594" s="17"/>
      <c r="AD594" s="17"/>
      <c r="AE594" s="17"/>
      <c r="AF594" s="17"/>
      <c r="AG594" s="17"/>
      <c r="AH594" s="17"/>
      <c r="AI594" s="17"/>
      <c r="AJ594" s="17"/>
    </row>
    <row r="595" spans="2:36" ht="14.25" customHeight="1" x14ac:dyDescent="0.2">
      <c r="B595" s="16"/>
      <c r="AC595" s="17"/>
      <c r="AD595" s="17"/>
      <c r="AE595" s="17"/>
      <c r="AF595" s="17"/>
      <c r="AG595" s="17"/>
      <c r="AH595" s="17"/>
      <c r="AI595" s="17"/>
      <c r="AJ595" s="17"/>
    </row>
    <row r="596" spans="2:36" ht="14.25" customHeight="1" x14ac:dyDescent="0.2">
      <c r="B596" s="16"/>
      <c r="AC596" s="17"/>
      <c r="AD596" s="17"/>
      <c r="AE596" s="17"/>
      <c r="AF596" s="17"/>
      <c r="AG596" s="17"/>
      <c r="AH596" s="17"/>
      <c r="AI596" s="17"/>
      <c r="AJ596" s="17"/>
    </row>
    <row r="597" spans="2:36" ht="14.25" customHeight="1" x14ac:dyDescent="0.2">
      <c r="B597" s="16"/>
      <c r="AC597" s="17"/>
      <c r="AD597" s="17"/>
      <c r="AE597" s="17"/>
      <c r="AF597" s="17"/>
      <c r="AG597" s="17"/>
      <c r="AH597" s="17"/>
      <c r="AI597" s="17"/>
      <c r="AJ597" s="17"/>
    </row>
    <row r="598" spans="2:36" ht="14.25" customHeight="1" x14ac:dyDescent="0.2">
      <c r="B598" s="16"/>
      <c r="AC598" s="17"/>
      <c r="AD598" s="17"/>
      <c r="AE598" s="17"/>
      <c r="AF598" s="17"/>
      <c r="AG598" s="17"/>
      <c r="AH598" s="17"/>
      <c r="AI598" s="17"/>
      <c r="AJ598" s="17"/>
    </row>
    <row r="599" spans="2:36" ht="14.25" customHeight="1" x14ac:dyDescent="0.2">
      <c r="B599" s="16"/>
      <c r="AC599" s="17"/>
      <c r="AD599" s="17"/>
      <c r="AE599" s="17"/>
      <c r="AF599" s="17"/>
      <c r="AG599" s="17"/>
      <c r="AH599" s="17"/>
      <c r="AI599" s="17"/>
      <c r="AJ599" s="17"/>
    </row>
    <row r="600" spans="2:36" ht="14.25" customHeight="1" x14ac:dyDescent="0.2">
      <c r="B600" s="16"/>
      <c r="AC600" s="17"/>
      <c r="AD600" s="17"/>
      <c r="AE600" s="17"/>
      <c r="AF600" s="17"/>
      <c r="AG600" s="17"/>
      <c r="AH600" s="17"/>
      <c r="AI600" s="17"/>
      <c r="AJ600" s="17"/>
    </row>
    <row r="601" spans="2:36" ht="14.25" customHeight="1" x14ac:dyDescent="0.2">
      <c r="B601" s="16"/>
      <c r="AC601" s="17"/>
      <c r="AD601" s="17"/>
      <c r="AE601" s="17"/>
      <c r="AF601" s="17"/>
      <c r="AG601" s="17"/>
      <c r="AH601" s="17"/>
      <c r="AI601" s="17"/>
      <c r="AJ601" s="17"/>
    </row>
    <row r="602" spans="2:36" ht="14.25" customHeight="1" x14ac:dyDescent="0.2">
      <c r="B602" s="16"/>
      <c r="AC602" s="17"/>
      <c r="AD602" s="17"/>
      <c r="AE602" s="17"/>
      <c r="AF602" s="17"/>
      <c r="AG602" s="17"/>
      <c r="AH602" s="17"/>
      <c r="AI602" s="17"/>
      <c r="AJ602" s="17"/>
    </row>
    <row r="603" spans="2:36" ht="14.25" customHeight="1" x14ac:dyDescent="0.2">
      <c r="B603" s="16"/>
      <c r="AC603" s="17"/>
      <c r="AD603" s="17"/>
      <c r="AE603" s="17"/>
      <c r="AF603" s="17"/>
      <c r="AG603" s="17"/>
      <c r="AH603" s="17"/>
      <c r="AI603" s="17"/>
      <c r="AJ603" s="17"/>
    </row>
    <row r="604" spans="2:36" ht="14.25" customHeight="1" x14ac:dyDescent="0.2">
      <c r="B604" s="16"/>
      <c r="AC604" s="17"/>
      <c r="AD604" s="17"/>
      <c r="AE604" s="17"/>
      <c r="AF604" s="17"/>
      <c r="AG604" s="17"/>
      <c r="AH604" s="17"/>
      <c r="AI604" s="17"/>
      <c r="AJ604" s="17"/>
    </row>
    <row r="605" spans="2:36" ht="14.25" customHeight="1" x14ac:dyDescent="0.2">
      <c r="B605" s="16"/>
      <c r="AC605" s="17"/>
      <c r="AD605" s="17"/>
      <c r="AE605" s="17"/>
      <c r="AF605" s="17"/>
      <c r="AG605" s="17"/>
      <c r="AH605" s="17"/>
      <c r="AI605" s="17"/>
      <c r="AJ605" s="17"/>
    </row>
    <row r="606" spans="2:36" ht="14.25" customHeight="1" x14ac:dyDescent="0.2">
      <c r="B606" s="16"/>
      <c r="AC606" s="17"/>
      <c r="AD606" s="17"/>
      <c r="AE606" s="17"/>
      <c r="AF606" s="17"/>
      <c r="AG606" s="17"/>
      <c r="AH606" s="17"/>
      <c r="AI606" s="17"/>
      <c r="AJ606" s="17"/>
    </row>
    <row r="607" spans="2:36" ht="14.25" customHeight="1" x14ac:dyDescent="0.2">
      <c r="B607" s="16"/>
      <c r="AC607" s="17"/>
      <c r="AD607" s="17"/>
      <c r="AE607" s="17"/>
      <c r="AF607" s="17"/>
      <c r="AG607" s="17"/>
      <c r="AH607" s="17"/>
      <c r="AI607" s="17"/>
      <c r="AJ607" s="17"/>
    </row>
    <row r="608" spans="2:36" ht="14.25" customHeight="1" x14ac:dyDescent="0.2">
      <c r="B608" s="16"/>
      <c r="AC608" s="17"/>
      <c r="AD608" s="17"/>
      <c r="AE608" s="17"/>
      <c r="AF608" s="17"/>
      <c r="AG608" s="17"/>
      <c r="AH608" s="17"/>
      <c r="AI608" s="17"/>
      <c r="AJ608" s="17"/>
    </row>
    <row r="609" spans="2:36" ht="14.25" customHeight="1" x14ac:dyDescent="0.2">
      <c r="B609" s="16"/>
      <c r="AC609" s="17"/>
      <c r="AD609" s="17"/>
      <c r="AE609" s="17"/>
      <c r="AF609" s="17"/>
      <c r="AG609" s="17"/>
      <c r="AH609" s="17"/>
      <c r="AI609" s="17"/>
      <c r="AJ609" s="17"/>
    </row>
    <row r="610" spans="2:36" ht="14.25" customHeight="1" x14ac:dyDescent="0.2">
      <c r="B610" s="16"/>
      <c r="AC610" s="17"/>
      <c r="AD610" s="17"/>
      <c r="AE610" s="17"/>
      <c r="AF610" s="17"/>
      <c r="AG610" s="17"/>
      <c r="AH610" s="17"/>
      <c r="AI610" s="17"/>
      <c r="AJ610" s="17"/>
    </row>
    <row r="611" spans="2:36" ht="14.25" customHeight="1" x14ac:dyDescent="0.2">
      <c r="B611" s="16"/>
      <c r="AC611" s="17"/>
      <c r="AD611" s="17"/>
      <c r="AE611" s="17"/>
      <c r="AF611" s="17"/>
      <c r="AG611" s="17"/>
      <c r="AH611" s="17"/>
      <c r="AI611" s="17"/>
      <c r="AJ611" s="17"/>
    </row>
    <row r="612" spans="2:36" ht="14.25" customHeight="1" x14ac:dyDescent="0.2">
      <c r="B612" s="16"/>
      <c r="AC612" s="17"/>
      <c r="AD612" s="17"/>
      <c r="AE612" s="17"/>
      <c r="AF612" s="17"/>
      <c r="AG612" s="17"/>
      <c r="AH612" s="17"/>
      <c r="AI612" s="17"/>
      <c r="AJ612" s="17"/>
    </row>
    <row r="613" spans="2:36" ht="14.25" customHeight="1" x14ac:dyDescent="0.2">
      <c r="B613" s="16"/>
      <c r="AC613" s="17"/>
      <c r="AD613" s="17"/>
      <c r="AE613" s="17"/>
      <c r="AF613" s="17"/>
      <c r="AG613" s="17"/>
      <c r="AH613" s="17"/>
      <c r="AI613" s="17"/>
      <c r="AJ613" s="17"/>
    </row>
    <row r="614" spans="2:36" ht="14.25" customHeight="1" x14ac:dyDescent="0.2">
      <c r="B614" s="16"/>
      <c r="AC614" s="17"/>
      <c r="AD614" s="17"/>
      <c r="AE614" s="17"/>
      <c r="AF614" s="17"/>
      <c r="AG614" s="17"/>
      <c r="AH614" s="17"/>
      <c r="AI614" s="17"/>
      <c r="AJ614" s="17"/>
    </row>
    <row r="615" spans="2:36" ht="14.25" customHeight="1" x14ac:dyDescent="0.2">
      <c r="B615" s="16"/>
      <c r="AC615" s="17"/>
      <c r="AD615" s="17"/>
      <c r="AE615" s="17"/>
      <c r="AF615" s="17"/>
      <c r="AG615" s="17"/>
      <c r="AH615" s="17"/>
      <c r="AI615" s="17"/>
      <c r="AJ615" s="17"/>
    </row>
    <row r="616" spans="2:36" ht="14.25" customHeight="1" x14ac:dyDescent="0.2">
      <c r="B616" s="16"/>
      <c r="AC616" s="17"/>
      <c r="AD616" s="17"/>
      <c r="AE616" s="17"/>
      <c r="AF616" s="17"/>
      <c r="AG616" s="17"/>
      <c r="AH616" s="17"/>
      <c r="AI616" s="17"/>
      <c r="AJ616" s="17"/>
    </row>
    <row r="617" spans="2:36" ht="14.25" customHeight="1" x14ac:dyDescent="0.2">
      <c r="B617" s="16"/>
      <c r="AC617" s="17"/>
      <c r="AD617" s="17"/>
      <c r="AE617" s="17"/>
      <c r="AF617" s="17"/>
      <c r="AG617" s="17"/>
      <c r="AH617" s="17"/>
      <c r="AI617" s="17"/>
      <c r="AJ617" s="17"/>
    </row>
    <row r="618" spans="2:36" ht="14.25" customHeight="1" x14ac:dyDescent="0.2">
      <c r="B618" s="16"/>
      <c r="AC618" s="17"/>
      <c r="AD618" s="17"/>
      <c r="AE618" s="17"/>
      <c r="AF618" s="17"/>
      <c r="AG618" s="17"/>
      <c r="AH618" s="17"/>
      <c r="AI618" s="17"/>
      <c r="AJ618" s="17"/>
    </row>
    <row r="619" spans="2:36" ht="14.25" customHeight="1" x14ac:dyDescent="0.2">
      <c r="B619" s="16"/>
      <c r="AC619" s="17"/>
      <c r="AD619" s="17"/>
      <c r="AE619" s="17"/>
      <c r="AF619" s="17"/>
      <c r="AG619" s="17"/>
      <c r="AH619" s="17"/>
      <c r="AI619" s="17"/>
      <c r="AJ619" s="17"/>
    </row>
    <row r="620" spans="2:36" ht="14.25" customHeight="1" x14ac:dyDescent="0.2">
      <c r="B620" s="16"/>
      <c r="AC620" s="17"/>
      <c r="AD620" s="17"/>
      <c r="AE620" s="17"/>
      <c r="AF620" s="17"/>
      <c r="AG620" s="17"/>
      <c r="AH620" s="17"/>
      <c r="AI620" s="17"/>
      <c r="AJ620" s="17"/>
    </row>
    <row r="621" spans="2:36" ht="14.25" customHeight="1" x14ac:dyDescent="0.2">
      <c r="B621" s="16"/>
      <c r="AC621" s="17"/>
      <c r="AD621" s="17"/>
      <c r="AE621" s="17"/>
      <c r="AF621" s="17"/>
      <c r="AG621" s="17"/>
      <c r="AH621" s="17"/>
      <c r="AI621" s="17"/>
      <c r="AJ621" s="17"/>
    </row>
    <row r="622" spans="2:36" ht="14.25" customHeight="1" x14ac:dyDescent="0.2">
      <c r="B622" s="16"/>
      <c r="AC622" s="17"/>
      <c r="AD622" s="17"/>
      <c r="AE622" s="17"/>
      <c r="AF622" s="17"/>
      <c r="AG622" s="17"/>
      <c r="AH622" s="17"/>
      <c r="AI622" s="17"/>
      <c r="AJ622" s="17"/>
    </row>
    <row r="623" spans="2:36" ht="14.25" customHeight="1" x14ac:dyDescent="0.2">
      <c r="B623" s="16"/>
      <c r="AC623" s="17"/>
      <c r="AD623" s="17"/>
      <c r="AE623" s="17"/>
      <c r="AF623" s="17"/>
      <c r="AG623" s="17"/>
      <c r="AH623" s="17"/>
      <c r="AI623" s="17"/>
      <c r="AJ623" s="17"/>
    </row>
    <row r="624" spans="2:36" ht="14.25" customHeight="1" x14ac:dyDescent="0.2">
      <c r="B624" s="16"/>
      <c r="AC624" s="17"/>
      <c r="AD624" s="17"/>
      <c r="AE624" s="17"/>
      <c r="AF624" s="17"/>
      <c r="AG624" s="17"/>
      <c r="AH624" s="17"/>
      <c r="AI624" s="17"/>
      <c r="AJ624" s="17"/>
    </row>
    <row r="625" spans="2:36" ht="14.25" customHeight="1" x14ac:dyDescent="0.2">
      <c r="B625" s="16"/>
      <c r="AC625" s="17"/>
      <c r="AD625" s="17"/>
      <c r="AE625" s="17"/>
      <c r="AF625" s="17"/>
      <c r="AG625" s="17"/>
      <c r="AH625" s="17"/>
      <c r="AI625" s="17"/>
      <c r="AJ625" s="17"/>
    </row>
    <row r="626" spans="2:36" ht="14.25" customHeight="1" x14ac:dyDescent="0.2">
      <c r="B626" s="16"/>
      <c r="AC626" s="17"/>
      <c r="AD626" s="17"/>
      <c r="AE626" s="17"/>
      <c r="AF626" s="17"/>
      <c r="AG626" s="17"/>
      <c r="AH626" s="17"/>
      <c r="AI626" s="17"/>
      <c r="AJ626" s="17"/>
    </row>
    <row r="627" spans="2:36" ht="14.25" customHeight="1" x14ac:dyDescent="0.2">
      <c r="B627" s="16"/>
      <c r="AC627" s="17"/>
      <c r="AD627" s="17"/>
      <c r="AE627" s="17"/>
      <c r="AF627" s="17"/>
      <c r="AG627" s="17"/>
      <c r="AH627" s="17"/>
      <c r="AI627" s="17"/>
      <c r="AJ627" s="17"/>
    </row>
    <row r="628" spans="2:36" ht="14.25" customHeight="1" x14ac:dyDescent="0.2">
      <c r="B628" s="16"/>
      <c r="AC628" s="17"/>
      <c r="AD628" s="17"/>
      <c r="AE628" s="17"/>
      <c r="AF628" s="17"/>
      <c r="AG628" s="17"/>
      <c r="AH628" s="17"/>
      <c r="AI628" s="17"/>
      <c r="AJ628" s="17"/>
    </row>
    <row r="629" spans="2:36" ht="14.25" customHeight="1" x14ac:dyDescent="0.2">
      <c r="B629" s="16"/>
      <c r="AC629" s="17"/>
      <c r="AD629" s="17"/>
      <c r="AE629" s="17"/>
      <c r="AF629" s="17"/>
      <c r="AG629" s="17"/>
      <c r="AH629" s="17"/>
      <c r="AI629" s="17"/>
      <c r="AJ629" s="17"/>
    </row>
    <row r="630" spans="2:36" ht="14.25" customHeight="1" x14ac:dyDescent="0.2">
      <c r="B630" s="16"/>
      <c r="AC630" s="17"/>
      <c r="AD630" s="17"/>
      <c r="AE630" s="17"/>
      <c r="AF630" s="17"/>
      <c r="AG630" s="17"/>
      <c r="AH630" s="17"/>
      <c r="AI630" s="17"/>
      <c r="AJ630" s="17"/>
    </row>
    <row r="631" spans="2:36" ht="14.25" customHeight="1" x14ac:dyDescent="0.2">
      <c r="B631" s="16"/>
      <c r="AC631" s="17"/>
      <c r="AD631" s="17"/>
      <c r="AE631" s="17"/>
      <c r="AF631" s="17"/>
      <c r="AG631" s="17"/>
      <c r="AH631" s="17"/>
      <c r="AI631" s="17"/>
      <c r="AJ631" s="17"/>
    </row>
    <row r="632" spans="2:36" ht="14.25" customHeight="1" x14ac:dyDescent="0.2">
      <c r="B632" s="16"/>
      <c r="AC632" s="17"/>
      <c r="AD632" s="17"/>
      <c r="AE632" s="17"/>
      <c r="AF632" s="17"/>
      <c r="AG632" s="17"/>
      <c r="AH632" s="17"/>
      <c r="AI632" s="17"/>
      <c r="AJ632" s="17"/>
    </row>
    <row r="633" spans="2:36" ht="14.25" customHeight="1" x14ac:dyDescent="0.2">
      <c r="B633" s="16"/>
      <c r="AC633" s="17"/>
      <c r="AD633" s="17"/>
      <c r="AE633" s="17"/>
      <c r="AF633" s="17"/>
      <c r="AG633" s="17"/>
      <c r="AH633" s="17"/>
      <c r="AI633" s="17"/>
      <c r="AJ633" s="17"/>
    </row>
    <row r="634" spans="2:36" ht="14.25" customHeight="1" x14ac:dyDescent="0.2">
      <c r="B634" s="16"/>
      <c r="AC634" s="17"/>
      <c r="AD634" s="17"/>
      <c r="AE634" s="17"/>
      <c r="AF634" s="17"/>
      <c r="AG634" s="17"/>
      <c r="AH634" s="17"/>
      <c r="AI634" s="17"/>
      <c r="AJ634" s="17"/>
    </row>
    <row r="635" spans="2:36" ht="14.25" customHeight="1" x14ac:dyDescent="0.2">
      <c r="B635" s="16"/>
      <c r="AC635" s="17"/>
      <c r="AD635" s="17"/>
      <c r="AE635" s="17"/>
      <c r="AF635" s="17"/>
      <c r="AG635" s="17"/>
      <c r="AH635" s="17"/>
      <c r="AI635" s="17"/>
      <c r="AJ635" s="17"/>
    </row>
    <row r="636" spans="2:36" ht="14.25" customHeight="1" x14ac:dyDescent="0.2">
      <c r="B636" s="16"/>
      <c r="AC636" s="17"/>
      <c r="AD636" s="17"/>
      <c r="AE636" s="17"/>
      <c r="AF636" s="17"/>
      <c r="AG636" s="17"/>
      <c r="AH636" s="17"/>
      <c r="AI636" s="17"/>
      <c r="AJ636" s="17"/>
    </row>
    <row r="637" spans="2:36" ht="14.25" customHeight="1" x14ac:dyDescent="0.2">
      <c r="B637" s="16"/>
      <c r="AC637" s="17"/>
      <c r="AD637" s="17"/>
      <c r="AE637" s="17"/>
      <c r="AF637" s="17"/>
      <c r="AG637" s="17"/>
      <c r="AH637" s="17"/>
      <c r="AI637" s="17"/>
      <c r="AJ637" s="17"/>
    </row>
    <row r="638" spans="2:36" ht="14.25" customHeight="1" x14ac:dyDescent="0.2">
      <c r="B638" s="16"/>
      <c r="AC638" s="17"/>
      <c r="AD638" s="17"/>
      <c r="AE638" s="17"/>
      <c r="AF638" s="17"/>
      <c r="AG638" s="17"/>
      <c r="AH638" s="17"/>
      <c r="AI638" s="17"/>
      <c r="AJ638" s="17"/>
    </row>
    <row r="639" spans="2:36" ht="14.25" customHeight="1" x14ac:dyDescent="0.2">
      <c r="B639" s="16"/>
      <c r="AC639" s="17"/>
      <c r="AD639" s="17"/>
      <c r="AE639" s="17"/>
      <c r="AF639" s="17"/>
      <c r="AG639" s="17"/>
      <c r="AH639" s="17"/>
      <c r="AI639" s="17"/>
      <c r="AJ639" s="17"/>
    </row>
    <row r="640" spans="2:36" ht="14.25" customHeight="1" x14ac:dyDescent="0.2">
      <c r="B640" s="16"/>
      <c r="AC640" s="17"/>
      <c r="AD640" s="17"/>
      <c r="AE640" s="17"/>
      <c r="AF640" s="17"/>
      <c r="AG640" s="17"/>
      <c r="AH640" s="17"/>
      <c r="AI640" s="17"/>
      <c r="AJ640" s="17"/>
    </row>
    <row r="641" spans="2:36" ht="14.25" customHeight="1" x14ac:dyDescent="0.2">
      <c r="B641" s="16"/>
      <c r="AC641" s="17"/>
      <c r="AD641" s="17"/>
      <c r="AE641" s="17"/>
      <c r="AF641" s="17"/>
      <c r="AG641" s="17"/>
      <c r="AH641" s="17"/>
      <c r="AI641" s="17"/>
      <c r="AJ641" s="17"/>
    </row>
    <row r="642" spans="2:36" ht="14.25" customHeight="1" x14ac:dyDescent="0.2">
      <c r="B642" s="16"/>
      <c r="AC642" s="17"/>
      <c r="AD642" s="17"/>
      <c r="AE642" s="17"/>
      <c r="AF642" s="17"/>
      <c r="AG642" s="17"/>
      <c r="AH642" s="17"/>
      <c r="AI642" s="17"/>
      <c r="AJ642" s="17"/>
    </row>
    <row r="643" spans="2:36" ht="14.25" customHeight="1" x14ac:dyDescent="0.2">
      <c r="B643" s="16"/>
      <c r="AC643" s="17"/>
      <c r="AD643" s="17"/>
      <c r="AE643" s="17"/>
      <c r="AF643" s="17"/>
      <c r="AG643" s="17"/>
      <c r="AH643" s="17"/>
      <c r="AI643" s="17"/>
      <c r="AJ643" s="17"/>
    </row>
    <row r="644" spans="2:36" ht="14.25" customHeight="1" x14ac:dyDescent="0.2">
      <c r="B644" s="16"/>
      <c r="AC644" s="17"/>
      <c r="AD644" s="17"/>
      <c r="AE644" s="17"/>
      <c r="AF644" s="17"/>
      <c r="AG644" s="17"/>
      <c r="AH644" s="17"/>
      <c r="AI644" s="17"/>
      <c r="AJ644" s="17"/>
    </row>
    <row r="645" spans="2:36" ht="14.25" customHeight="1" x14ac:dyDescent="0.2">
      <c r="B645" s="16"/>
      <c r="AC645" s="17"/>
      <c r="AD645" s="17"/>
      <c r="AE645" s="17"/>
      <c r="AF645" s="17"/>
      <c r="AG645" s="17"/>
      <c r="AH645" s="17"/>
      <c r="AI645" s="17"/>
      <c r="AJ645" s="17"/>
    </row>
    <row r="646" spans="2:36" ht="14.25" customHeight="1" x14ac:dyDescent="0.2">
      <c r="B646" s="16"/>
      <c r="AC646" s="17"/>
      <c r="AD646" s="17"/>
      <c r="AE646" s="17"/>
      <c r="AF646" s="17"/>
      <c r="AG646" s="17"/>
      <c r="AH646" s="17"/>
      <c r="AI646" s="17"/>
      <c r="AJ646" s="17"/>
    </row>
    <row r="647" spans="2:36" ht="14.25" customHeight="1" x14ac:dyDescent="0.2">
      <c r="B647" s="16"/>
      <c r="AC647" s="17"/>
      <c r="AD647" s="17"/>
      <c r="AE647" s="17"/>
      <c r="AF647" s="17"/>
      <c r="AG647" s="17"/>
      <c r="AH647" s="17"/>
      <c r="AI647" s="17"/>
      <c r="AJ647" s="17"/>
    </row>
    <row r="648" spans="2:36" ht="14.25" customHeight="1" x14ac:dyDescent="0.2">
      <c r="B648" s="16"/>
      <c r="AC648" s="17"/>
      <c r="AD648" s="17"/>
      <c r="AE648" s="17"/>
      <c r="AF648" s="17"/>
      <c r="AG648" s="17"/>
      <c r="AH648" s="17"/>
      <c r="AI648" s="17"/>
      <c r="AJ648" s="17"/>
    </row>
    <row r="649" spans="2:36" ht="14.25" customHeight="1" x14ac:dyDescent="0.2">
      <c r="B649" s="16"/>
      <c r="AC649" s="17"/>
      <c r="AD649" s="17"/>
      <c r="AE649" s="17"/>
      <c r="AF649" s="17"/>
      <c r="AG649" s="17"/>
      <c r="AH649" s="17"/>
      <c r="AI649" s="17"/>
      <c r="AJ649" s="17"/>
    </row>
    <row r="650" spans="2:36" ht="14.25" customHeight="1" x14ac:dyDescent="0.2">
      <c r="B650" s="16"/>
      <c r="AC650" s="17"/>
      <c r="AD650" s="17"/>
      <c r="AE650" s="17"/>
      <c r="AF650" s="17"/>
      <c r="AG650" s="17"/>
      <c r="AH650" s="17"/>
      <c r="AI650" s="17"/>
      <c r="AJ650" s="17"/>
    </row>
    <row r="651" spans="2:36" ht="14.25" customHeight="1" x14ac:dyDescent="0.2">
      <c r="B651" s="16"/>
      <c r="AC651" s="17"/>
      <c r="AD651" s="17"/>
      <c r="AE651" s="17"/>
      <c r="AF651" s="17"/>
      <c r="AG651" s="17"/>
      <c r="AH651" s="17"/>
      <c r="AI651" s="17"/>
      <c r="AJ651" s="17"/>
    </row>
    <row r="652" spans="2:36" ht="14.25" customHeight="1" x14ac:dyDescent="0.2">
      <c r="B652" s="16"/>
      <c r="AC652" s="17"/>
      <c r="AD652" s="17"/>
      <c r="AE652" s="17"/>
      <c r="AF652" s="17"/>
      <c r="AG652" s="17"/>
      <c r="AH652" s="17"/>
      <c r="AI652" s="17"/>
      <c r="AJ652" s="17"/>
    </row>
    <row r="653" spans="2:36" ht="14.25" customHeight="1" x14ac:dyDescent="0.2">
      <c r="B653" s="16"/>
      <c r="AC653" s="17"/>
      <c r="AD653" s="17"/>
      <c r="AE653" s="17"/>
      <c r="AF653" s="17"/>
      <c r="AG653" s="17"/>
      <c r="AH653" s="17"/>
      <c r="AI653" s="17"/>
      <c r="AJ653" s="17"/>
    </row>
    <row r="654" spans="2:36" ht="14.25" customHeight="1" x14ac:dyDescent="0.2">
      <c r="B654" s="16"/>
      <c r="AC654" s="17"/>
      <c r="AD654" s="17"/>
      <c r="AE654" s="17"/>
      <c r="AF654" s="17"/>
      <c r="AG654" s="17"/>
      <c r="AH654" s="17"/>
      <c r="AI654" s="17"/>
      <c r="AJ654" s="17"/>
    </row>
    <row r="655" spans="2:36" ht="14.25" customHeight="1" x14ac:dyDescent="0.2">
      <c r="B655" s="16"/>
      <c r="AC655" s="17"/>
      <c r="AD655" s="17"/>
      <c r="AE655" s="17"/>
      <c r="AF655" s="17"/>
      <c r="AG655" s="17"/>
      <c r="AH655" s="17"/>
      <c r="AI655" s="17"/>
      <c r="AJ655" s="17"/>
    </row>
    <row r="656" spans="2:36" ht="14.25" customHeight="1" x14ac:dyDescent="0.2">
      <c r="B656" s="16"/>
      <c r="AC656" s="17"/>
      <c r="AD656" s="17"/>
      <c r="AE656" s="17"/>
      <c r="AF656" s="17"/>
      <c r="AG656" s="17"/>
      <c r="AH656" s="17"/>
      <c r="AI656" s="17"/>
      <c r="AJ656" s="17"/>
    </row>
    <row r="657" spans="2:36" ht="14.25" customHeight="1" x14ac:dyDescent="0.2">
      <c r="B657" s="16"/>
      <c r="AC657" s="17"/>
      <c r="AD657" s="17"/>
      <c r="AE657" s="17"/>
      <c r="AF657" s="17"/>
      <c r="AG657" s="17"/>
      <c r="AH657" s="17"/>
      <c r="AI657" s="17"/>
      <c r="AJ657" s="17"/>
    </row>
    <row r="658" spans="2:36" ht="14.25" customHeight="1" x14ac:dyDescent="0.2">
      <c r="B658" s="16"/>
      <c r="AC658" s="17"/>
      <c r="AD658" s="17"/>
      <c r="AE658" s="17"/>
      <c r="AF658" s="17"/>
      <c r="AG658" s="17"/>
      <c r="AH658" s="17"/>
      <c r="AI658" s="17"/>
      <c r="AJ658" s="17"/>
    </row>
    <row r="659" spans="2:36" ht="14.25" customHeight="1" x14ac:dyDescent="0.2">
      <c r="B659" s="16"/>
      <c r="AC659" s="17"/>
      <c r="AD659" s="17"/>
      <c r="AE659" s="17"/>
      <c r="AF659" s="17"/>
      <c r="AG659" s="17"/>
      <c r="AH659" s="17"/>
      <c r="AI659" s="17"/>
      <c r="AJ659" s="17"/>
    </row>
    <row r="660" spans="2:36" ht="14.25" customHeight="1" x14ac:dyDescent="0.2">
      <c r="B660" s="16"/>
      <c r="AC660" s="17"/>
      <c r="AD660" s="17"/>
      <c r="AE660" s="17"/>
      <c r="AF660" s="17"/>
      <c r="AG660" s="17"/>
      <c r="AH660" s="17"/>
      <c r="AI660" s="17"/>
      <c r="AJ660" s="17"/>
    </row>
    <row r="661" spans="2:36" ht="14.25" customHeight="1" x14ac:dyDescent="0.2">
      <c r="B661" s="16"/>
      <c r="AC661" s="17"/>
      <c r="AD661" s="17"/>
      <c r="AE661" s="17"/>
      <c r="AF661" s="17"/>
      <c r="AG661" s="17"/>
      <c r="AH661" s="17"/>
      <c r="AI661" s="17"/>
      <c r="AJ661" s="17"/>
    </row>
    <row r="662" spans="2:36" ht="14.25" customHeight="1" x14ac:dyDescent="0.2">
      <c r="B662" s="16"/>
      <c r="AC662" s="17"/>
      <c r="AD662" s="17"/>
      <c r="AE662" s="17"/>
      <c r="AF662" s="17"/>
      <c r="AG662" s="17"/>
      <c r="AH662" s="17"/>
      <c r="AI662" s="17"/>
      <c r="AJ662" s="17"/>
    </row>
    <row r="663" spans="2:36" ht="14.25" customHeight="1" x14ac:dyDescent="0.2">
      <c r="B663" s="16"/>
      <c r="AC663" s="17"/>
      <c r="AD663" s="17"/>
      <c r="AE663" s="17"/>
      <c r="AF663" s="17"/>
      <c r="AG663" s="17"/>
      <c r="AH663" s="17"/>
      <c r="AI663" s="17"/>
      <c r="AJ663" s="17"/>
    </row>
    <row r="664" spans="2:36" ht="14.25" customHeight="1" x14ac:dyDescent="0.2">
      <c r="B664" s="16"/>
      <c r="AC664" s="17"/>
      <c r="AD664" s="17"/>
      <c r="AE664" s="17"/>
      <c r="AF664" s="17"/>
      <c r="AG664" s="17"/>
      <c r="AH664" s="17"/>
      <c r="AI664" s="17"/>
      <c r="AJ664" s="17"/>
    </row>
    <row r="665" spans="2:36" ht="14.25" customHeight="1" x14ac:dyDescent="0.2">
      <c r="B665" s="16"/>
      <c r="AC665" s="17"/>
      <c r="AD665" s="17"/>
      <c r="AE665" s="17"/>
      <c r="AF665" s="17"/>
      <c r="AG665" s="17"/>
      <c r="AH665" s="17"/>
      <c r="AI665" s="17"/>
      <c r="AJ665" s="17"/>
    </row>
    <row r="666" spans="2:36" ht="14.25" customHeight="1" x14ac:dyDescent="0.2">
      <c r="B666" s="16"/>
      <c r="AC666" s="17"/>
      <c r="AD666" s="17"/>
      <c r="AE666" s="17"/>
      <c r="AF666" s="17"/>
      <c r="AG666" s="17"/>
      <c r="AH666" s="17"/>
      <c r="AI666" s="17"/>
      <c r="AJ666" s="17"/>
    </row>
    <row r="667" spans="2:36" ht="14.25" customHeight="1" x14ac:dyDescent="0.2">
      <c r="B667" s="16"/>
      <c r="AC667" s="17"/>
      <c r="AD667" s="17"/>
      <c r="AE667" s="17"/>
      <c r="AF667" s="17"/>
      <c r="AG667" s="17"/>
      <c r="AH667" s="17"/>
      <c r="AI667" s="17"/>
      <c r="AJ667" s="17"/>
    </row>
    <row r="668" spans="2:36" ht="14.25" customHeight="1" x14ac:dyDescent="0.2">
      <c r="B668" s="16"/>
      <c r="AC668" s="17"/>
      <c r="AD668" s="17"/>
      <c r="AE668" s="17"/>
      <c r="AF668" s="17"/>
      <c r="AG668" s="17"/>
      <c r="AH668" s="17"/>
      <c r="AI668" s="17"/>
      <c r="AJ668" s="17"/>
    </row>
    <row r="669" spans="2:36" ht="14.25" customHeight="1" x14ac:dyDescent="0.2">
      <c r="B669" s="16"/>
      <c r="AC669" s="17"/>
      <c r="AD669" s="17"/>
      <c r="AE669" s="17"/>
      <c r="AF669" s="17"/>
      <c r="AG669" s="17"/>
      <c r="AH669" s="17"/>
      <c r="AI669" s="17"/>
      <c r="AJ669" s="17"/>
    </row>
    <row r="670" spans="2:36" ht="14.25" customHeight="1" x14ac:dyDescent="0.2">
      <c r="B670" s="16"/>
      <c r="AC670" s="17"/>
      <c r="AD670" s="17"/>
      <c r="AE670" s="17"/>
      <c r="AF670" s="17"/>
      <c r="AG670" s="17"/>
      <c r="AH670" s="17"/>
      <c r="AI670" s="17"/>
      <c r="AJ670" s="17"/>
    </row>
    <row r="671" spans="2:36" ht="14.25" customHeight="1" x14ac:dyDescent="0.2">
      <c r="B671" s="16"/>
      <c r="AC671" s="17"/>
      <c r="AD671" s="17"/>
      <c r="AE671" s="17"/>
      <c r="AF671" s="17"/>
      <c r="AG671" s="17"/>
      <c r="AH671" s="17"/>
      <c r="AI671" s="17"/>
      <c r="AJ671" s="17"/>
    </row>
    <row r="672" spans="2:36" ht="14.25" customHeight="1" x14ac:dyDescent="0.2">
      <c r="B672" s="16"/>
      <c r="AC672" s="17"/>
      <c r="AD672" s="17"/>
      <c r="AE672" s="17"/>
      <c r="AF672" s="17"/>
      <c r="AG672" s="17"/>
      <c r="AH672" s="17"/>
      <c r="AI672" s="17"/>
      <c r="AJ672" s="17"/>
    </row>
    <row r="673" spans="2:36" ht="14.25" customHeight="1" x14ac:dyDescent="0.2">
      <c r="B673" s="16"/>
      <c r="AC673" s="17"/>
      <c r="AD673" s="17"/>
      <c r="AE673" s="17"/>
      <c r="AF673" s="17"/>
      <c r="AG673" s="17"/>
      <c r="AH673" s="17"/>
      <c r="AI673" s="17"/>
      <c r="AJ673" s="17"/>
    </row>
    <row r="674" spans="2:36" ht="14.25" customHeight="1" x14ac:dyDescent="0.2">
      <c r="B674" s="16"/>
      <c r="AC674" s="17"/>
      <c r="AD674" s="17"/>
      <c r="AE674" s="17"/>
      <c r="AF674" s="17"/>
      <c r="AG674" s="17"/>
      <c r="AH674" s="17"/>
      <c r="AI674" s="17"/>
      <c r="AJ674" s="17"/>
    </row>
    <row r="675" spans="2:36" ht="14.25" customHeight="1" x14ac:dyDescent="0.2">
      <c r="B675" s="16"/>
      <c r="AC675" s="17"/>
      <c r="AD675" s="17"/>
      <c r="AE675" s="17"/>
      <c r="AF675" s="17"/>
      <c r="AG675" s="17"/>
      <c r="AH675" s="17"/>
      <c r="AI675" s="17"/>
      <c r="AJ675" s="17"/>
    </row>
    <row r="676" spans="2:36" ht="14.25" customHeight="1" x14ac:dyDescent="0.2">
      <c r="B676" s="16"/>
      <c r="AC676" s="17"/>
      <c r="AD676" s="17"/>
      <c r="AE676" s="17"/>
      <c r="AF676" s="17"/>
      <c r="AG676" s="17"/>
      <c r="AH676" s="17"/>
      <c r="AI676" s="17"/>
      <c r="AJ676" s="17"/>
    </row>
    <row r="677" spans="2:36" ht="14.25" customHeight="1" x14ac:dyDescent="0.2">
      <c r="B677" s="16"/>
      <c r="AC677" s="17"/>
      <c r="AD677" s="17"/>
      <c r="AE677" s="17"/>
      <c r="AF677" s="17"/>
      <c r="AG677" s="17"/>
      <c r="AH677" s="17"/>
      <c r="AI677" s="17"/>
      <c r="AJ677" s="17"/>
    </row>
    <row r="678" spans="2:36" ht="14.25" customHeight="1" x14ac:dyDescent="0.2">
      <c r="B678" s="16"/>
      <c r="AC678" s="17"/>
      <c r="AD678" s="17"/>
      <c r="AE678" s="17"/>
      <c r="AF678" s="17"/>
      <c r="AG678" s="17"/>
      <c r="AH678" s="17"/>
      <c r="AI678" s="17"/>
      <c r="AJ678" s="17"/>
    </row>
    <row r="679" spans="2:36" ht="14.25" customHeight="1" x14ac:dyDescent="0.2">
      <c r="B679" s="16"/>
      <c r="AC679" s="17"/>
      <c r="AD679" s="17"/>
      <c r="AE679" s="17"/>
      <c r="AF679" s="17"/>
      <c r="AG679" s="17"/>
      <c r="AH679" s="17"/>
      <c r="AI679" s="17"/>
      <c r="AJ679" s="17"/>
    </row>
    <row r="680" spans="2:36" ht="14.25" customHeight="1" x14ac:dyDescent="0.2">
      <c r="B680" s="16"/>
      <c r="AC680" s="17"/>
      <c r="AD680" s="17"/>
      <c r="AE680" s="17"/>
      <c r="AF680" s="17"/>
      <c r="AG680" s="17"/>
      <c r="AH680" s="17"/>
      <c r="AI680" s="17"/>
      <c r="AJ680" s="17"/>
    </row>
    <row r="681" spans="2:36" ht="14.25" customHeight="1" x14ac:dyDescent="0.2">
      <c r="B681" s="16"/>
      <c r="AC681" s="17"/>
      <c r="AD681" s="17"/>
      <c r="AE681" s="17"/>
      <c r="AF681" s="17"/>
      <c r="AG681" s="17"/>
      <c r="AH681" s="17"/>
      <c r="AI681" s="17"/>
      <c r="AJ681" s="17"/>
    </row>
    <row r="682" spans="2:36" ht="14.25" customHeight="1" x14ac:dyDescent="0.2">
      <c r="B682" s="16"/>
      <c r="AC682" s="17"/>
      <c r="AD682" s="17"/>
      <c r="AE682" s="17"/>
      <c r="AF682" s="17"/>
      <c r="AG682" s="17"/>
      <c r="AH682" s="17"/>
      <c r="AI682" s="17"/>
      <c r="AJ682" s="17"/>
    </row>
    <row r="683" spans="2:36" ht="14.25" customHeight="1" x14ac:dyDescent="0.2">
      <c r="B683" s="16"/>
      <c r="AC683" s="17"/>
      <c r="AD683" s="17"/>
      <c r="AE683" s="17"/>
      <c r="AF683" s="17"/>
      <c r="AG683" s="17"/>
      <c r="AH683" s="17"/>
      <c r="AI683" s="17"/>
      <c r="AJ683" s="17"/>
    </row>
    <row r="684" spans="2:36" ht="14.25" customHeight="1" x14ac:dyDescent="0.2">
      <c r="B684" s="16"/>
      <c r="AC684" s="17"/>
      <c r="AD684" s="17"/>
      <c r="AE684" s="17"/>
      <c r="AF684" s="17"/>
      <c r="AG684" s="17"/>
      <c r="AH684" s="17"/>
      <c r="AI684" s="17"/>
      <c r="AJ684" s="17"/>
    </row>
    <row r="685" spans="2:36" ht="14.25" customHeight="1" x14ac:dyDescent="0.2">
      <c r="B685" s="16"/>
      <c r="AC685" s="17"/>
      <c r="AD685" s="17"/>
      <c r="AE685" s="17"/>
      <c r="AF685" s="17"/>
      <c r="AG685" s="17"/>
      <c r="AH685" s="17"/>
      <c r="AI685" s="17"/>
      <c r="AJ685" s="17"/>
    </row>
    <row r="686" spans="2:36" ht="14.25" customHeight="1" x14ac:dyDescent="0.2">
      <c r="B686" s="16"/>
      <c r="AC686" s="17"/>
      <c r="AD686" s="17"/>
      <c r="AE686" s="17"/>
      <c r="AF686" s="17"/>
      <c r="AG686" s="17"/>
      <c r="AH686" s="17"/>
      <c r="AI686" s="17"/>
      <c r="AJ686" s="17"/>
    </row>
    <row r="687" spans="2:36" ht="14.25" customHeight="1" x14ac:dyDescent="0.2">
      <c r="B687" s="16"/>
      <c r="AC687" s="17"/>
      <c r="AD687" s="17"/>
      <c r="AE687" s="17"/>
      <c r="AF687" s="17"/>
      <c r="AG687" s="17"/>
      <c r="AH687" s="17"/>
      <c r="AI687" s="17"/>
      <c r="AJ687" s="17"/>
    </row>
    <row r="688" spans="2:36" ht="14.25" customHeight="1" x14ac:dyDescent="0.2">
      <c r="B688" s="16"/>
      <c r="AC688" s="17"/>
      <c r="AD688" s="17"/>
      <c r="AE688" s="17"/>
      <c r="AF688" s="17"/>
      <c r="AG688" s="17"/>
      <c r="AH688" s="17"/>
      <c r="AI688" s="17"/>
      <c r="AJ688" s="17"/>
    </row>
    <row r="689" spans="2:36" ht="14.25" customHeight="1" x14ac:dyDescent="0.2">
      <c r="B689" s="16"/>
      <c r="AC689" s="17"/>
      <c r="AD689" s="17"/>
      <c r="AE689" s="17"/>
      <c r="AF689" s="17"/>
      <c r="AG689" s="17"/>
      <c r="AH689" s="17"/>
      <c r="AI689" s="17"/>
      <c r="AJ689" s="17"/>
    </row>
    <row r="690" spans="2:36" ht="14.25" customHeight="1" x14ac:dyDescent="0.2">
      <c r="B690" s="16"/>
      <c r="AC690" s="17"/>
      <c r="AD690" s="17"/>
      <c r="AE690" s="17"/>
      <c r="AF690" s="17"/>
      <c r="AG690" s="17"/>
      <c r="AH690" s="17"/>
      <c r="AI690" s="17"/>
      <c r="AJ690" s="17"/>
    </row>
    <row r="691" spans="2:36" ht="14.25" customHeight="1" x14ac:dyDescent="0.2">
      <c r="B691" s="16"/>
      <c r="AC691" s="17"/>
      <c r="AD691" s="17"/>
      <c r="AE691" s="17"/>
      <c r="AF691" s="17"/>
      <c r="AG691" s="17"/>
      <c r="AH691" s="17"/>
      <c r="AI691" s="17"/>
      <c r="AJ691" s="17"/>
    </row>
    <row r="692" spans="2:36" ht="14.25" customHeight="1" x14ac:dyDescent="0.2">
      <c r="B692" s="16"/>
      <c r="AC692" s="17"/>
      <c r="AD692" s="17"/>
      <c r="AE692" s="17"/>
      <c r="AF692" s="17"/>
      <c r="AG692" s="17"/>
      <c r="AH692" s="17"/>
      <c r="AI692" s="17"/>
      <c r="AJ692" s="17"/>
    </row>
    <row r="693" spans="2:36" ht="14.25" customHeight="1" x14ac:dyDescent="0.2">
      <c r="B693" s="16"/>
      <c r="AC693" s="17"/>
      <c r="AD693" s="17"/>
      <c r="AE693" s="17"/>
      <c r="AF693" s="17"/>
      <c r="AG693" s="17"/>
      <c r="AH693" s="17"/>
      <c r="AI693" s="17"/>
      <c r="AJ693" s="17"/>
    </row>
    <row r="694" spans="2:36" ht="14.25" customHeight="1" x14ac:dyDescent="0.2">
      <c r="B694" s="16"/>
      <c r="AC694" s="17"/>
      <c r="AD694" s="17"/>
      <c r="AE694" s="17"/>
      <c r="AF694" s="17"/>
      <c r="AG694" s="17"/>
      <c r="AH694" s="17"/>
      <c r="AI694" s="17"/>
      <c r="AJ694" s="17"/>
    </row>
    <row r="695" spans="2:36" ht="14.25" customHeight="1" x14ac:dyDescent="0.2">
      <c r="B695" s="16"/>
      <c r="AC695" s="17"/>
      <c r="AD695" s="17"/>
      <c r="AE695" s="17"/>
      <c r="AF695" s="17"/>
      <c r="AG695" s="17"/>
      <c r="AH695" s="17"/>
      <c r="AI695" s="17"/>
      <c r="AJ695" s="17"/>
    </row>
    <row r="696" spans="2:36" ht="14.25" customHeight="1" x14ac:dyDescent="0.2">
      <c r="B696" s="16"/>
      <c r="AC696" s="17"/>
      <c r="AD696" s="17"/>
      <c r="AE696" s="17"/>
      <c r="AF696" s="17"/>
      <c r="AG696" s="17"/>
      <c r="AH696" s="17"/>
      <c r="AI696" s="17"/>
      <c r="AJ696" s="17"/>
    </row>
    <row r="697" spans="2:36" ht="14.25" customHeight="1" x14ac:dyDescent="0.2">
      <c r="B697" s="16"/>
      <c r="AC697" s="17"/>
      <c r="AD697" s="17"/>
      <c r="AE697" s="17"/>
      <c r="AF697" s="17"/>
      <c r="AG697" s="17"/>
      <c r="AH697" s="17"/>
      <c r="AI697" s="17"/>
      <c r="AJ697" s="17"/>
    </row>
    <row r="698" spans="2:36" ht="14.25" customHeight="1" x14ac:dyDescent="0.2">
      <c r="B698" s="16"/>
      <c r="AC698" s="17"/>
      <c r="AD698" s="17"/>
      <c r="AE698" s="17"/>
      <c r="AF698" s="17"/>
      <c r="AG698" s="17"/>
      <c r="AH698" s="17"/>
      <c r="AI698" s="17"/>
      <c r="AJ698" s="17"/>
    </row>
    <row r="699" spans="2:36" ht="14.25" customHeight="1" x14ac:dyDescent="0.2">
      <c r="B699" s="16"/>
      <c r="AC699" s="17"/>
      <c r="AD699" s="17"/>
      <c r="AE699" s="17"/>
      <c r="AF699" s="17"/>
      <c r="AG699" s="17"/>
      <c r="AH699" s="17"/>
      <c r="AI699" s="17"/>
      <c r="AJ699" s="17"/>
    </row>
    <row r="700" spans="2:36" ht="14.25" customHeight="1" x14ac:dyDescent="0.2">
      <c r="B700" s="16"/>
      <c r="AC700" s="17"/>
      <c r="AD700" s="17"/>
      <c r="AE700" s="17"/>
      <c r="AF700" s="17"/>
      <c r="AG700" s="17"/>
      <c r="AH700" s="17"/>
      <c r="AI700" s="17"/>
      <c r="AJ700" s="17"/>
    </row>
    <row r="701" spans="2:36" ht="14.25" customHeight="1" x14ac:dyDescent="0.2">
      <c r="B701" s="16"/>
      <c r="AC701" s="17"/>
      <c r="AD701" s="17"/>
      <c r="AE701" s="17"/>
      <c r="AF701" s="17"/>
      <c r="AG701" s="17"/>
      <c r="AH701" s="17"/>
      <c r="AI701" s="17"/>
      <c r="AJ701" s="17"/>
    </row>
    <row r="702" spans="2:36" ht="14.25" customHeight="1" x14ac:dyDescent="0.2">
      <c r="B702" s="16"/>
      <c r="AC702" s="17"/>
      <c r="AD702" s="17"/>
      <c r="AE702" s="17"/>
      <c r="AF702" s="17"/>
      <c r="AG702" s="17"/>
      <c r="AH702" s="17"/>
      <c r="AI702" s="17"/>
      <c r="AJ702" s="17"/>
    </row>
    <row r="703" spans="2:36" ht="14.25" customHeight="1" x14ac:dyDescent="0.2">
      <c r="B703" s="16"/>
      <c r="AC703" s="17"/>
      <c r="AD703" s="17"/>
      <c r="AE703" s="17"/>
      <c r="AF703" s="17"/>
      <c r="AG703" s="17"/>
      <c r="AH703" s="17"/>
      <c r="AI703" s="17"/>
      <c r="AJ703" s="17"/>
    </row>
    <row r="704" spans="2:36" ht="14.25" customHeight="1" x14ac:dyDescent="0.2">
      <c r="B704" s="16"/>
      <c r="AC704" s="17"/>
      <c r="AD704" s="17"/>
      <c r="AE704" s="17"/>
      <c r="AF704" s="17"/>
      <c r="AG704" s="17"/>
      <c r="AH704" s="17"/>
      <c r="AI704" s="17"/>
      <c r="AJ704" s="17"/>
    </row>
    <row r="705" spans="2:36" ht="14.25" customHeight="1" x14ac:dyDescent="0.2">
      <c r="B705" s="16"/>
      <c r="AC705" s="17"/>
      <c r="AD705" s="17"/>
      <c r="AE705" s="17"/>
      <c r="AF705" s="17"/>
      <c r="AG705" s="17"/>
      <c r="AH705" s="17"/>
      <c r="AI705" s="17"/>
      <c r="AJ705" s="17"/>
    </row>
    <row r="706" spans="2:36" ht="14.25" customHeight="1" x14ac:dyDescent="0.2">
      <c r="B706" s="16"/>
      <c r="AC706" s="17"/>
      <c r="AD706" s="17"/>
      <c r="AE706" s="17"/>
      <c r="AF706" s="17"/>
      <c r="AG706" s="17"/>
      <c r="AH706" s="17"/>
      <c r="AI706" s="17"/>
      <c r="AJ706" s="17"/>
    </row>
    <row r="707" spans="2:36" ht="14.25" customHeight="1" x14ac:dyDescent="0.2">
      <c r="B707" s="16"/>
      <c r="AC707" s="17"/>
      <c r="AD707" s="17"/>
      <c r="AE707" s="17"/>
      <c r="AF707" s="17"/>
      <c r="AG707" s="17"/>
      <c r="AH707" s="17"/>
      <c r="AI707" s="17"/>
      <c r="AJ707" s="17"/>
    </row>
    <row r="708" spans="2:36" ht="14.25" customHeight="1" x14ac:dyDescent="0.2">
      <c r="B708" s="16"/>
      <c r="AC708" s="17"/>
      <c r="AD708" s="17"/>
      <c r="AE708" s="17"/>
      <c r="AF708" s="17"/>
      <c r="AG708" s="17"/>
      <c r="AH708" s="17"/>
      <c r="AI708" s="17"/>
      <c r="AJ708" s="17"/>
    </row>
    <row r="709" spans="2:36" ht="14.25" customHeight="1" x14ac:dyDescent="0.2">
      <c r="B709" s="16"/>
      <c r="AC709" s="17"/>
      <c r="AD709" s="17"/>
      <c r="AE709" s="17"/>
      <c r="AF709" s="17"/>
      <c r="AG709" s="17"/>
      <c r="AH709" s="17"/>
      <c r="AI709" s="17"/>
      <c r="AJ709" s="17"/>
    </row>
    <row r="710" spans="2:36" ht="14.25" customHeight="1" x14ac:dyDescent="0.2">
      <c r="B710" s="16"/>
      <c r="AC710" s="17"/>
      <c r="AD710" s="17"/>
      <c r="AE710" s="17"/>
      <c r="AF710" s="17"/>
      <c r="AG710" s="17"/>
      <c r="AH710" s="17"/>
      <c r="AI710" s="17"/>
      <c r="AJ710" s="17"/>
    </row>
    <row r="711" spans="2:36" ht="14.25" customHeight="1" x14ac:dyDescent="0.2">
      <c r="B711" s="16"/>
      <c r="AC711" s="17"/>
      <c r="AD711" s="17"/>
      <c r="AE711" s="17"/>
      <c r="AF711" s="17"/>
      <c r="AG711" s="17"/>
      <c r="AH711" s="17"/>
      <c r="AI711" s="17"/>
      <c r="AJ711" s="17"/>
    </row>
    <row r="712" spans="2:36" ht="14.25" customHeight="1" x14ac:dyDescent="0.2">
      <c r="B712" s="16"/>
      <c r="AC712" s="17"/>
      <c r="AD712" s="17"/>
      <c r="AE712" s="17"/>
      <c r="AF712" s="17"/>
      <c r="AG712" s="17"/>
      <c r="AH712" s="17"/>
      <c r="AI712" s="17"/>
      <c r="AJ712" s="17"/>
    </row>
    <row r="713" spans="2:36" ht="14.25" customHeight="1" x14ac:dyDescent="0.2">
      <c r="B713" s="16"/>
      <c r="AC713" s="17"/>
      <c r="AD713" s="17"/>
      <c r="AE713" s="17"/>
      <c r="AF713" s="17"/>
      <c r="AG713" s="17"/>
      <c r="AH713" s="17"/>
      <c r="AI713" s="17"/>
      <c r="AJ713" s="17"/>
    </row>
    <row r="714" spans="2:36" ht="14.25" customHeight="1" x14ac:dyDescent="0.2">
      <c r="B714" s="16"/>
      <c r="AC714" s="17"/>
      <c r="AD714" s="17"/>
      <c r="AE714" s="17"/>
      <c r="AF714" s="17"/>
      <c r="AG714" s="17"/>
      <c r="AH714" s="17"/>
      <c r="AI714" s="17"/>
      <c r="AJ714" s="17"/>
    </row>
    <row r="715" spans="2:36" ht="14.25" customHeight="1" x14ac:dyDescent="0.2">
      <c r="B715" s="16"/>
      <c r="AC715" s="17"/>
      <c r="AD715" s="17"/>
      <c r="AE715" s="17"/>
      <c r="AF715" s="17"/>
      <c r="AG715" s="17"/>
      <c r="AH715" s="17"/>
      <c r="AI715" s="17"/>
      <c r="AJ715" s="17"/>
    </row>
    <row r="716" spans="2:36" ht="14.25" customHeight="1" x14ac:dyDescent="0.2">
      <c r="B716" s="16"/>
      <c r="AC716" s="17"/>
      <c r="AD716" s="17"/>
      <c r="AE716" s="17"/>
      <c r="AF716" s="17"/>
      <c r="AG716" s="17"/>
      <c r="AH716" s="17"/>
      <c r="AI716" s="17"/>
      <c r="AJ716" s="17"/>
    </row>
    <row r="717" spans="2:36" ht="14.25" customHeight="1" x14ac:dyDescent="0.2">
      <c r="B717" s="16"/>
      <c r="AC717" s="17"/>
      <c r="AD717" s="17"/>
      <c r="AE717" s="17"/>
      <c r="AF717" s="17"/>
      <c r="AG717" s="17"/>
      <c r="AH717" s="17"/>
      <c r="AI717" s="17"/>
      <c r="AJ717" s="17"/>
    </row>
    <row r="718" spans="2:36" ht="14.25" customHeight="1" x14ac:dyDescent="0.2">
      <c r="B718" s="16"/>
      <c r="AC718" s="17"/>
      <c r="AD718" s="17"/>
      <c r="AE718" s="17"/>
      <c r="AF718" s="17"/>
      <c r="AG718" s="17"/>
      <c r="AH718" s="17"/>
      <c r="AI718" s="17"/>
      <c r="AJ718" s="17"/>
    </row>
    <row r="719" spans="2:36" ht="14.25" customHeight="1" x14ac:dyDescent="0.2">
      <c r="B719" s="16"/>
      <c r="AC719" s="17"/>
      <c r="AD719" s="17"/>
      <c r="AE719" s="17"/>
      <c r="AF719" s="17"/>
      <c r="AG719" s="17"/>
      <c r="AH719" s="17"/>
      <c r="AI719" s="17"/>
      <c r="AJ719" s="17"/>
    </row>
    <row r="720" spans="2:36" ht="14.25" customHeight="1" x14ac:dyDescent="0.2">
      <c r="B720" s="16"/>
      <c r="AC720" s="17"/>
      <c r="AD720" s="17"/>
      <c r="AE720" s="17"/>
      <c r="AF720" s="17"/>
      <c r="AG720" s="17"/>
      <c r="AH720" s="17"/>
      <c r="AI720" s="17"/>
      <c r="AJ720" s="17"/>
    </row>
    <row r="721" spans="2:36" ht="14.25" customHeight="1" x14ac:dyDescent="0.2">
      <c r="B721" s="16"/>
      <c r="AC721" s="17"/>
      <c r="AD721" s="17"/>
      <c r="AE721" s="17"/>
      <c r="AF721" s="17"/>
      <c r="AG721" s="17"/>
      <c r="AH721" s="17"/>
      <c r="AI721" s="17"/>
      <c r="AJ721" s="17"/>
    </row>
    <row r="722" spans="2:36" ht="14.25" customHeight="1" x14ac:dyDescent="0.2">
      <c r="B722" s="16"/>
      <c r="AC722" s="17"/>
      <c r="AD722" s="17"/>
      <c r="AE722" s="17"/>
      <c r="AF722" s="17"/>
      <c r="AG722" s="17"/>
      <c r="AH722" s="17"/>
      <c r="AI722" s="17"/>
      <c r="AJ722" s="17"/>
    </row>
    <row r="723" spans="2:36" ht="14.25" customHeight="1" x14ac:dyDescent="0.2">
      <c r="B723" s="16"/>
      <c r="AC723" s="17"/>
      <c r="AD723" s="17"/>
      <c r="AE723" s="17"/>
      <c r="AF723" s="17"/>
      <c r="AG723" s="17"/>
      <c r="AH723" s="17"/>
      <c r="AI723" s="17"/>
      <c r="AJ723" s="17"/>
    </row>
    <row r="724" spans="2:36" ht="14.25" customHeight="1" x14ac:dyDescent="0.2">
      <c r="B724" s="16"/>
      <c r="AC724" s="17"/>
      <c r="AD724" s="17"/>
      <c r="AE724" s="17"/>
      <c r="AF724" s="17"/>
      <c r="AG724" s="17"/>
      <c r="AH724" s="17"/>
      <c r="AI724" s="17"/>
      <c r="AJ724" s="17"/>
    </row>
    <row r="725" spans="2:36" ht="14.25" customHeight="1" x14ac:dyDescent="0.2">
      <c r="B725" s="16"/>
      <c r="AC725" s="17"/>
      <c r="AD725" s="17"/>
      <c r="AE725" s="17"/>
      <c r="AF725" s="17"/>
      <c r="AG725" s="17"/>
      <c r="AH725" s="17"/>
      <c r="AI725" s="17"/>
      <c r="AJ725" s="17"/>
    </row>
    <row r="726" spans="2:36" ht="14.25" customHeight="1" x14ac:dyDescent="0.2">
      <c r="B726" s="16"/>
      <c r="AC726" s="17"/>
      <c r="AD726" s="17"/>
      <c r="AE726" s="17"/>
      <c r="AF726" s="17"/>
      <c r="AG726" s="17"/>
      <c r="AH726" s="17"/>
      <c r="AI726" s="17"/>
      <c r="AJ726" s="17"/>
    </row>
    <row r="727" spans="2:36" ht="14.25" customHeight="1" x14ac:dyDescent="0.2">
      <c r="B727" s="16"/>
      <c r="AC727" s="17"/>
      <c r="AD727" s="17"/>
      <c r="AE727" s="17"/>
      <c r="AF727" s="17"/>
      <c r="AG727" s="17"/>
      <c r="AH727" s="17"/>
      <c r="AI727" s="17"/>
      <c r="AJ727" s="17"/>
    </row>
    <row r="728" spans="2:36" ht="14.25" customHeight="1" x14ac:dyDescent="0.2">
      <c r="B728" s="16"/>
      <c r="AC728" s="17"/>
      <c r="AD728" s="17"/>
      <c r="AE728" s="17"/>
      <c r="AF728" s="17"/>
      <c r="AG728" s="17"/>
      <c r="AH728" s="17"/>
      <c r="AI728" s="17"/>
      <c r="AJ728" s="17"/>
    </row>
    <row r="729" spans="2:36" ht="14.25" customHeight="1" x14ac:dyDescent="0.2">
      <c r="B729" s="16"/>
      <c r="AC729" s="17"/>
      <c r="AD729" s="17"/>
      <c r="AE729" s="17"/>
      <c r="AF729" s="17"/>
      <c r="AG729" s="17"/>
      <c r="AH729" s="17"/>
      <c r="AI729" s="17"/>
      <c r="AJ729" s="17"/>
    </row>
    <row r="730" spans="2:36" ht="14.25" customHeight="1" x14ac:dyDescent="0.2">
      <c r="B730" s="16"/>
      <c r="AC730" s="17"/>
      <c r="AD730" s="17"/>
      <c r="AE730" s="17"/>
      <c r="AF730" s="17"/>
      <c r="AG730" s="17"/>
      <c r="AH730" s="17"/>
      <c r="AI730" s="17"/>
      <c r="AJ730" s="17"/>
    </row>
    <row r="731" spans="2:36" ht="14.25" customHeight="1" x14ac:dyDescent="0.2">
      <c r="B731" s="16"/>
      <c r="AC731" s="17"/>
      <c r="AD731" s="17"/>
      <c r="AE731" s="17"/>
      <c r="AF731" s="17"/>
      <c r="AG731" s="17"/>
      <c r="AH731" s="17"/>
      <c r="AI731" s="17"/>
      <c r="AJ731" s="17"/>
    </row>
    <row r="732" spans="2:36" ht="14.25" customHeight="1" x14ac:dyDescent="0.2">
      <c r="B732" s="16"/>
      <c r="AC732" s="17"/>
      <c r="AD732" s="17"/>
      <c r="AE732" s="17"/>
      <c r="AF732" s="17"/>
      <c r="AG732" s="17"/>
      <c r="AH732" s="17"/>
      <c r="AI732" s="17"/>
      <c r="AJ732" s="17"/>
    </row>
    <row r="733" spans="2:36" ht="14.25" customHeight="1" x14ac:dyDescent="0.2">
      <c r="B733" s="16"/>
      <c r="AC733" s="17"/>
      <c r="AD733" s="17"/>
      <c r="AE733" s="17"/>
      <c r="AF733" s="17"/>
      <c r="AG733" s="17"/>
      <c r="AH733" s="17"/>
      <c r="AI733" s="17"/>
      <c r="AJ733" s="17"/>
    </row>
    <row r="734" spans="2:36" ht="14.25" customHeight="1" x14ac:dyDescent="0.2">
      <c r="B734" s="16"/>
      <c r="AC734" s="17"/>
      <c r="AD734" s="17"/>
      <c r="AE734" s="17"/>
      <c r="AF734" s="17"/>
      <c r="AG734" s="17"/>
      <c r="AH734" s="17"/>
      <c r="AI734" s="17"/>
      <c r="AJ734" s="17"/>
    </row>
    <row r="735" spans="2:36" ht="14.25" customHeight="1" x14ac:dyDescent="0.2">
      <c r="B735" s="16"/>
      <c r="AC735" s="17"/>
      <c r="AD735" s="17"/>
      <c r="AE735" s="17"/>
      <c r="AF735" s="17"/>
      <c r="AG735" s="17"/>
      <c r="AH735" s="17"/>
      <c r="AI735" s="17"/>
      <c r="AJ735" s="17"/>
    </row>
    <row r="736" spans="2:36" ht="14.25" customHeight="1" x14ac:dyDescent="0.2">
      <c r="B736" s="16"/>
      <c r="AC736" s="17"/>
      <c r="AD736" s="17"/>
      <c r="AE736" s="17"/>
      <c r="AF736" s="17"/>
      <c r="AG736" s="17"/>
      <c r="AH736" s="17"/>
      <c r="AI736" s="17"/>
      <c r="AJ736" s="17"/>
    </row>
    <row r="737" spans="2:36" ht="14.25" customHeight="1" x14ac:dyDescent="0.2">
      <c r="B737" s="16"/>
      <c r="AC737" s="17"/>
      <c r="AD737" s="17"/>
      <c r="AE737" s="17"/>
      <c r="AF737" s="17"/>
      <c r="AG737" s="17"/>
      <c r="AH737" s="17"/>
      <c r="AI737" s="17"/>
      <c r="AJ737" s="17"/>
    </row>
    <row r="738" spans="2:36" ht="14.25" customHeight="1" x14ac:dyDescent="0.2">
      <c r="B738" s="16"/>
      <c r="AC738" s="17"/>
      <c r="AD738" s="17"/>
      <c r="AE738" s="17"/>
      <c r="AF738" s="17"/>
      <c r="AG738" s="17"/>
      <c r="AH738" s="17"/>
      <c r="AI738" s="17"/>
      <c r="AJ738" s="17"/>
    </row>
    <row r="739" spans="2:36" ht="14.25" customHeight="1" x14ac:dyDescent="0.2">
      <c r="B739" s="16"/>
      <c r="AC739" s="17"/>
      <c r="AD739" s="17"/>
      <c r="AE739" s="17"/>
      <c r="AF739" s="17"/>
      <c r="AG739" s="17"/>
      <c r="AH739" s="17"/>
      <c r="AI739" s="17"/>
      <c r="AJ739" s="17"/>
    </row>
    <row r="740" spans="2:36" ht="14.25" customHeight="1" x14ac:dyDescent="0.2">
      <c r="B740" s="16"/>
      <c r="AC740" s="17"/>
      <c r="AD740" s="17"/>
      <c r="AE740" s="17"/>
      <c r="AF740" s="17"/>
      <c r="AG740" s="17"/>
      <c r="AH740" s="17"/>
      <c r="AI740" s="17"/>
      <c r="AJ740" s="17"/>
    </row>
    <row r="741" spans="2:36" ht="14.25" customHeight="1" x14ac:dyDescent="0.2">
      <c r="B741" s="16"/>
      <c r="AC741" s="17"/>
      <c r="AD741" s="17"/>
      <c r="AE741" s="17"/>
      <c r="AF741" s="17"/>
      <c r="AG741" s="17"/>
      <c r="AH741" s="17"/>
      <c r="AI741" s="17"/>
      <c r="AJ741" s="17"/>
    </row>
    <row r="742" spans="2:36" ht="14.25" customHeight="1" x14ac:dyDescent="0.2">
      <c r="B742" s="16"/>
      <c r="AC742" s="17"/>
      <c r="AD742" s="17"/>
      <c r="AE742" s="17"/>
      <c r="AF742" s="17"/>
      <c r="AG742" s="17"/>
      <c r="AH742" s="17"/>
      <c r="AI742" s="17"/>
      <c r="AJ742" s="17"/>
    </row>
    <row r="743" spans="2:36" ht="14.25" customHeight="1" x14ac:dyDescent="0.2">
      <c r="B743" s="16"/>
      <c r="AC743" s="17"/>
      <c r="AD743" s="17"/>
      <c r="AE743" s="17"/>
      <c r="AF743" s="17"/>
      <c r="AG743" s="17"/>
      <c r="AH743" s="17"/>
      <c r="AI743" s="17"/>
      <c r="AJ743" s="17"/>
    </row>
    <row r="744" spans="2:36" ht="14.25" customHeight="1" x14ac:dyDescent="0.2">
      <c r="B744" s="16"/>
      <c r="AC744" s="17"/>
      <c r="AD744" s="17"/>
      <c r="AE744" s="17"/>
      <c r="AF744" s="17"/>
      <c r="AG744" s="17"/>
      <c r="AH744" s="17"/>
      <c r="AI744" s="17"/>
      <c r="AJ744" s="17"/>
    </row>
    <row r="745" spans="2:36" ht="14.25" customHeight="1" x14ac:dyDescent="0.2">
      <c r="B745" s="16"/>
      <c r="AC745" s="17"/>
      <c r="AD745" s="17"/>
      <c r="AE745" s="17"/>
      <c r="AF745" s="17"/>
      <c r="AG745" s="17"/>
      <c r="AH745" s="17"/>
      <c r="AI745" s="17"/>
      <c r="AJ745" s="17"/>
    </row>
    <row r="746" spans="2:36" ht="14.25" customHeight="1" x14ac:dyDescent="0.2">
      <c r="B746" s="16"/>
      <c r="AC746" s="17"/>
      <c r="AD746" s="17"/>
      <c r="AE746" s="17"/>
      <c r="AF746" s="17"/>
      <c r="AG746" s="17"/>
      <c r="AH746" s="17"/>
      <c r="AI746" s="17"/>
      <c r="AJ746" s="17"/>
    </row>
    <row r="747" spans="2:36" ht="14.25" customHeight="1" x14ac:dyDescent="0.2">
      <c r="B747" s="16"/>
      <c r="AC747" s="17"/>
      <c r="AD747" s="17"/>
      <c r="AE747" s="17"/>
      <c r="AF747" s="17"/>
      <c r="AG747" s="17"/>
      <c r="AH747" s="17"/>
      <c r="AI747" s="17"/>
      <c r="AJ747" s="17"/>
    </row>
    <row r="748" spans="2:36" ht="14.25" customHeight="1" x14ac:dyDescent="0.2">
      <c r="B748" s="16"/>
      <c r="AC748" s="17"/>
      <c r="AD748" s="17"/>
      <c r="AE748" s="17"/>
      <c r="AF748" s="17"/>
      <c r="AG748" s="17"/>
      <c r="AH748" s="17"/>
      <c r="AI748" s="17"/>
      <c r="AJ748" s="17"/>
    </row>
    <row r="749" spans="2:36" ht="14.25" customHeight="1" x14ac:dyDescent="0.2">
      <c r="B749" s="16"/>
      <c r="AC749" s="17"/>
      <c r="AD749" s="17"/>
      <c r="AE749" s="17"/>
      <c r="AF749" s="17"/>
      <c r="AG749" s="17"/>
      <c r="AH749" s="17"/>
      <c r="AI749" s="17"/>
      <c r="AJ749" s="17"/>
    </row>
    <row r="750" spans="2:36" ht="14.25" customHeight="1" x14ac:dyDescent="0.2">
      <c r="B750" s="16"/>
      <c r="AC750" s="17"/>
      <c r="AD750" s="17"/>
      <c r="AE750" s="17"/>
      <c r="AF750" s="17"/>
      <c r="AG750" s="17"/>
      <c r="AH750" s="17"/>
      <c r="AI750" s="17"/>
      <c r="AJ750" s="17"/>
    </row>
    <row r="751" spans="2:36" ht="14.25" customHeight="1" x14ac:dyDescent="0.2">
      <c r="B751" s="16"/>
      <c r="AC751" s="17"/>
      <c r="AD751" s="17"/>
      <c r="AE751" s="17"/>
      <c r="AF751" s="17"/>
      <c r="AG751" s="17"/>
      <c r="AH751" s="17"/>
      <c r="AI751" s="17"/>
      <c r="AJ751" s="17"/>
    </row>
    <row r="752" spans="2:36" ht="14.25" customHeight="1" x14ac:dyDescent="0.2">
      <c r="B752" s="16"/>
      <c r="AC752" s="17"/>
      <c r="AD752" s="17"/>
      <c r="AE752" s="17"/>
      <c r="AF752" s="17"/>
      <c r="AG752" s="17"/>
      <c r="AH752" s="17"/>
      <c r="AI752" s="17"/>
      <c r="AJ752" s="17"/>
    </row>
    <row r="753" spans="2:36" ht="14.25" customHeight="1" x14ac:dyDescent="0.2">
      <c r="B753" s="16"/>
      <c r="AC753" s="17"/>
      <c r="AD753" s="17"/>
      <c r="AE753" s="17"/>
      <c r="AF753" s="17"/>
      <c r="AG753" s="17"/>
      <c r="AH753" s="17"/>
      <c r="AI753" s="17"/>
      <c r="AJ753" s="17"/>
    </row>
    <row r="754" spans="2:36" ht="14.25" customHeight="1" x14ac:dyDescent="0.2">
      <c r="B754" s="16"/>
      <c r="AC754" s="17"/>
      <c r="AD754" s="17"/>
      <c r="AE754" s="17"/>
      <c r="AF754" s="17"/>
      <c r="AG754" s="17"/>
      <c r="AH754" s="17"/>
      <c r="AI754" s="17"/>
      <c r="AJ754" s="17"/>
    </row>
    <row r="755" spans="2:36" ht="14.25" customHeight="1" x14ac:dyDescent="0.2">
      <c r="B755" s="16"/>
      <c r="AC755" s="17"/>
      <c r="AD755" s="17"/>
      <c r="AE755" s="17"/>
      <c r="AF755" s="17"/>
      <c r="AG755" s="17"/>
      <c r="AH755" s="17"/>
      <c r="AI755" s="17"/>
      <c r="AJ755" s="17"/>
    </row>
    <row r="756" spans="2:36" ht="14.25" customHeight="1" x14ac:dyDescent="0.2">
      <c r="B756" s="16"/>
      <c r="AC756" s="17"/>
      <c r="AD756" s="17"/>
      <c r="AE756" s="17"/>
      <c r="AF756" s="17"/>
      <c r="AG756" s="17"/>
      <c r="AH756" s="17"/>
      <c r="AI756" s="17"/>
      <c r="AJ756" s="17"/>
    </row>
    <row r="757" spans="2:36" ht="14.25" customHeight="1" x14ac:dyDescent="0.2">
      <c r="B757" s="16"/>
      <c r="AC757" s="17"/>
      <c r="AD757" s="17"/>
      <c r="AE757" s="17"/>
      <c r="AF757" s="17"/>
      <c r="AG757" s="17"/>
      <c r="AH757" s="17"/>
      <c r="AI757" s="17"/>
      <c r="AJ757" s="17"/>
    </row>
    <row r="758" spans="2:36" ht="14.25" customHeight="1" x14ac:dyDescent="0.2">
      <c r="B758" s="16"/>
      <c r="AC758" s="17"/>
      <c r="AD758" s="17"/>
      <c r="AE758" s="17"/>
      <c r="AF758" s="17"/>
      <c r="AG758" s="17"/>
      <c r="AH758" s="17"/>
      <c r="AI758" s="17"/>
      <c r="AJ758" s="17"/>
    </row>
    <row r="759" spans="2:36" ht="14.25" customHeight="1" x14ac:dyDescent="0.2">
      <c r="B759" s="16"/>
      <c r="AC759" s="17"/>
      <c r="AD759" s="17"/>
      <c r="AE759" s="17"/>
      <c r="AF759" s="17"/>
      <c r="AG759" s="17"/>
      <c r="AH759" s="17"/>
      <c r="AI759" s="17"/>
      <c r="AJ759" s="17"/>
    </row>
    <row r="760" spans="2:36" ht="14.25" customHeight="1" x14ac:dyDescent="0.2">
      <c r="B760" s="16"/>
      <c r="AC760" s="17"/>
      <c r="AD760" s="17"/>
      <c r="AE760" s="17"/>
      <c r="AF760" s="17"/>
      <c r="AG760" s="17"/>
      <c r="AH760" s="17"/>
      <c r="AI760" s="17"/>
      <c r="AJ760" s="17"/>
    </row>
    <row r="761" spans="2:36" ht="14.25" customHeight="1" x14ac:dyDescent="0.2">
      <c r="B761" s="16"/>
      <c r="AC761" s="17"/>
      <c r="AD761" s="17"/>
      <c r="AE761" s="17"/>
      <c r="AF761" s="17"/>
      <c r="AG761" s="17"/>
      <c r="AH761" s="17"/>
      <c r="AI761" s="17"/>
      <c r="AJ761" s="17"/>
    </row>
    <row r="762" spans="2:36" ht="14.25" customHeight="1" x14ac:dyDescent="0.2">
      <c r="B762" s="16"/>
      <c r="AC762" s="17"/>
      <c r="AD762" s="17"/>
      <c r="AE762" s="17"/>
      <c r="AF762" s="17"/>
      <c r="AG762" s="17"/>
      <c r="AH762" s="17"/>
      <c r="AI762" s="17"/>
      <c r="AJ762" s="17"/>
    </row>
    <row r="763" spans="2:36" ht="14.25" customHeight="1" x14ac:dyDescent="0.2">
      <c r="B763" s="16"/>
      <c r="AC763" s="17"/>
      <c r="AD763" s="17"/>
      <c r="AE763" s="17"/>
      <c r="AF763" s="17"/>
      <c r="AG763" s="17"/>
      <c r="AH763" s="17"/>
      <c r="AI763" s="17"/>
      <c r="AJ763" s="17"/>
    </row>
    <row r="764" spans="2:36" ht="14.25" customHeight="1" x14ac:dyDescent="0.2">
      <c r="B764" s="16"/>
      <c r="AC764" s="17"/>
      <c r="AD764" s="17"/>
      <c r="AE764" s="17"/>
      <c r="AF764" s="17"/>
      <c r="AG764" s="17"/>
      <c r="AH764" s="17"/>
      <c r="AI764" s="17"/>
      <c r="AJ764" s="17"/>
    </row>
    <row r="765" spans="2:36" ht="14.25" customHeight="1" x14ac:dyDescent="0.2">
      <c r="B765" s="16"/>
      <c r="AC765" s="17"/>
      <c r="AD765" s="17"/>
      <c r="AE765" s="17"/>
      <c r="AF765" s="17"/>
      <c r="AG765" s="17"/>
      <c r="AH765" s="17"/>
      <c r="AI765" s="17"/>
      <c r="AJ765" s="17"/>
    </row>
    <row r="766" spans="2:36" ht="14.25" customHeight="1" x14ac:dyDescent="0.2">
      <c r="B766" s="16"/>
      <c r="AC766" s="17"/>
      <c r="AD766" s="17"/>
      <c r="AE766" s="17"/>
      <c r="AF766" s="17"/>
      <c r="AG766" s="17"/>
      <c r="AH766" s="17"/>
      <c r="AI766" s="17"/>
      <c r="AJ766" s="17"/>
    </row>
    <row r="767" spans="2:36" ht="14.25" customHeight="1" x14ac:dyDescent="0.2">
      <c r="B767" s="16"/>
      <c r="AC767" s="17"/>
      <c r="AD767" s="17"/>
      <c r="AE767" s="17"/>
      <c r="AF767" s="17"/>
      <c r="AG767" s="17"/>
      <c r="AH767" s="17"/>
      <c r="AI767" s="17"/>
      <c r="AJ767" s="17"/>
    </row>
    <row r="768" spans="2:36" ht="14.25" customHeight="1" x14ac:dyDescent="0.2">
      <c r="B768" s="16"/>
      <c r="AC768" s="17"/>
      <c r="AD768" s="17"/>
      <c r="AE768" s="17"/>
      <c r="AF768" s="17"/>
      <c r="AG768" s="17"/>
      <c r="AH768" s="17"/>
      <c r="AI768" s="17"/>
      <c r="AJ768" s="17"/>
    </row>
    <row r="769" spans="2:36" ht="14.25" customHeight="1" x14ac:dyDescent="0.2">
      <c r="B769" s="16"/>
      <c r="AC769" s="17"/>
      <c r="AD769" s="17"/>
      <c r="AE769" s="17"/>
      <c r="AF769" s="17"/>
      <c r="AG769" s="17"/>
      <c r="AH769" s="17"/>
      <c r="AI769" s="17"/>
      <c r="AJ769" s="17"/>
    </row>
    <row r="770" spans="2:36" ht="14.25" customHeight="1" x14ac:dyDescent="0.2">
      <c r="B770" s="16"/>
      <c r="AC770" s="17"/>
      <c r="AD770" s="17"/>
      <c r="AE770" s="17"/>
      <c r="AF770" s="17"/>
      <c r="AG770" s="17"/>
      <c r="AH770" s="17"/>
      <c r="AI770" s="17"/>
      <c r="AJ770" s="17"/>
    </row>
    <row r="771" spans="2:36" ht="14.25" customHeight="1" x14ac:dyDescent="0.2">
      <c r="B771" s="16"/>
      <c r="AC771" s="17"/>
      <c r="AD771" s="17"/>
      <c r="AE771" s="17"/>
      <c r="AF771" s="17"/>
      <c r="AG771" s="17"/>
      <c r="AH771" s="17"/>
      <c r="AI771" s="17"/>
      <c r="AJ771" s="17"/>
    </row>
    <row r="772" spans="2:36" ht="14.25" customHeight="1" x14ac:dyDescent="0.2">
      <c r="B772" s="16"/>
      <c r="AC772" s="17"/>
      <c r="AD772" s="17"/>
      <c r="AE772" s="17"/>
      <c r="AF772" s="17"/>
      <c r="AG772" s="17"/>
      <c r="AH772" s="17"/>
      <c r="AI772" s="17"/>
      <c r="AJ772" s="17"/>
    </row>
    <row r="773" spans="2:36" ht="14.25" customHeight="1" x14ac:dyDescent="0.2">
      <c r="B773" s="16"/>
      <c r="AC773" s="17"/>
      <c r="AD773" s="17"/>
      <c r="AE773" s="17"/>
      <c r="AF773" s="17"/>
      <c r="AG773" s="17"/>
      <c r="AH773" s="17"/>
      <c r="AI773" s="17"/>
      <c r="AJ773" s="17"/>
    </row>
    <row r="774" spans="2:36" ht="14.25" customHeight="1" x14ac:dyDescent="0.2">
      <c r="B774" s="16"/>
      <c r="AC774" s="17"/>
      <c r="AD774" s="17"/>
      <c r="AE774" s="17"/>
      <c r="AF774" s="17"/>
      <c r="AG774" s="17"/>
      <c r="AH774" s="17"/>
      <c r="AI774" s="17"/>
      <c r="AJ774" s="17"/>
    </row>
    <row r="775" spans="2:36" ht="14.25" customHeight="1" x14ac:dyDescent="0.2">
      <c r="B775" s="16"/>
      <c r="AC775" s="17"/>
      <c r="AD775" s="17"/>
      <c r="AE775" s="17"/>
      <c r="AF775" s="17"/>
      <c r="AG775" s="17"/>
      <c r="AH775" s="17"/>
      <c r="AI775" s="17"/>
      <c r="AJ775" s="17"/>
    </row>
    <row r="776" spans="2:36" ht="14.25" customHeight="1" x14ac:dyDescent="0.2">
      <c r="B776" s="16"/>
      <c r="AC776" s="17"/>
      <c r="AD776" s="17"/>
      <c r="AE776" s="17"/>
      <c r="AF776" s="17"/>
      <c r="AG776" s="17"/>
      <c r="AH776" s="17"/>
      <c r="AI776" s="17"/>
      <c r="AJ776" s="17"/>
    </row>
    <row r="777" spans="2:36" ht="14.25" customHeight="1" x14ac:dyDescent="0.2">
      <c r="B777" s="16"/>
      <c r="AC777" s="17"/>
      <c r="AD777" s="17"/>
      <c r="AE777" s="17"/>
      <c r="AF777" s="17"/>
      <c r="AG777" s="17"/>
      <c r="AH777" s="17"/>
      <c r="AI777" s="17"/>
      <c r="AJ777" s="17"/>
    </row>
    <row r="778" spans="2:36" ht="14.25" customHeight="1" x14ac:dyDescent="0.2">
      <c r="B778" s="16"/>
      <c r="AC778" s="17"/>
      <c r="AD778" s="17"/>
      <c r="AE778" s="17"/>
      <c r="AF778" s="17"/>
      <c r="AG778" s="17"/>
      <c r="AH778" s="17"/>
      <c r="AI778" s="17"/>
      <c r="AJ778" s="17"/>
    </row>
    <row r="779" spans="2:36" ht="14.25" customHeight="1" x14ac:dyDescent="0.2">
      <c r="B779" s="16"/>
      <c r="AC779" s="17"/>
      <c r="AD779" s="17"/>
      <c r="AE779" s="17"/>
      <c r="AF779" s="17"/>
      <c r="AG779" s="17"/>
      <c r="AH779" s="17"/>
      <c r="AI779" s="17"/>
      <c r="AJ779" s="17"/>
    </row>
    <row r="780" spans="2:36" ht="14.25" customHeight="1" x14ac:dyDescent="0.2">
      <c r="B780" s="16"/>
      <c r="AC780" s="17"/>
      <c r="AD780" s="17"/>
      <c r="AE780" s="17"/>
      <c r="AF780" s="17"/>
      <c r="AG780" s="17"/>
      <c r="AH780" s="17"/>
      <c r="AI780" s="17"/>
      <c r="AJ780" s="17"/>
    </row>
    <row r="781" spans="2:36" ht="14.25" customHeight="1" x14ac:dyDescent="0.2">
      <c r="B781" s="16"/>
      <c r="AC781" s="17"/>
      <c r="AD781" s="17"/>
      <c r="AE781" s="17"/>
      <c r="AF781" s="17"/>
      <c r="AG781" s="17"/>
      <c r="AH781" s="17"/>
      <c r="AI781" s="17"/>
      <c r="AJ781" s="17"/>
    </row>
    <row r="782" spans="2:36" ht="14.25" customHeight="1" x14ac:dyDescent="0.2">
      <c r="B782" s="16"/>
      <c r="AC782" s="17"/>
      <c r="AD782" s="17"/>
      <c r="AE782" s="17"/>
      <c r="AF782" s="17"/>
      <c r="AG782" s="17"/>
      <c r="AH782" s="17"/>
      <c r="AI782" s="17"/>
      <c r="AJ782" s="17"/>
    </row>
    <row r="783" spans="2:36" ht="14.25" customHeight="1" x14ac:dyDescent="0.2">
      <c r="B783" s="16"/>
      <c r="AC783" s="17"/>
      <c r="AD783" s="17"/>
      <c r="AE783" s="17"/>
      <c r="AF783" s="17"/>
      <c r="AG783" s="17"/>
      <c r="AH783" s="17"/>
      <c r="AI783" s="17"/>
      <c r="AJ783" s="17"/>
    </row>
    <row r="784" spans="2:36" ht="14.25" customHeight="1" x14ac:dyDescent="0.2">
      <c r="B784" s="16"/>
      <c r="AC784" s="17"/>
      <c r="AD784" s="17"/>
      <c r="AE784" s="17"/>
      <c r="AF784" s="17"/>
      <c r="AG784" s="17"/>
      <c r="AH784" s="17"/>
      <c r="AI784" s="17"/>
      <c r="AJ784" s="17"/>
    </row>
    <row r="785" spans="2:36" ht="14.25" customHeight="1" x14ac:dyDescent="0.2">
      <c r="B785" s="16"/>
      <c r="AC785" s="17"/>
      <c r="AD785" s="17"/>
      <c r="AE785" s="17"/>
      <c r="AF785" s="17"/>
      <c r="AG785" s="17"/>
      <c r="AH785" s="17"/>
      <c r="AI785" s="17"/>
      <c r="AJ785" s="17"/>
    </row>
    <row r="786" spans="2:36" ht="14.25" customHeight="1" x14ac:dyDescent="0.2">
      <c r="B786" s="16"/>
      <c r="AC786" s="17"/>
      <c r="AD786" s="17"/>
      <c r="AE786" s="17"/>
      <c r="AF786" s="17"/>
      <c r="AG786" s="17"/>
      <c r="AH786" s="17"/>
      <c r="AI786" s="17"/>
      <c r="AJ786" s="17"/>
    </row>
    <row r="787" spans="2:36" ht="14.25" customHeight="1" x14ac:dyDescent="0.2">
      <c r="B787" s="16"/>
      <c r="AC787" s="17"/>
      <c r="AD787" s="17"/>
      <c r="AE787" s="17"/>
      <c r="AF787" s="17"/>
      <c r="AG787" s="17"/>
      <c r="AH787" s="17"/>
      <c r="AI787" s="17"/>
      <c r="AJ787" s="17"/>
    </row>
    <row r="788" spans="2:36" ht="14.25" customHeight="1" x14ac:dyDescent="0.2">
      <c r="B788" s="16"/>
      <c r="AC788" s="17"/>
      <c r="AD788" s="17"/>
      <c r="AE788" s="17"/>
      <c r="AF788" s="17"/>
      <c r="AG788" s="17"/>
      <c r="AH788" s="17"/>
      <c r="AI788" s="17"/>
      <c r="AJ788" s="17"/>
    </row>
    <row r="789" spans="2:36" ht="14.25" customHeight="1" x14ac:dyDescent="0.2">
      <c r="B789" s="16"/>
      <c r="AC789" s="17"/>
      <c r="AD789" s="17"/>
      <c r="AE789" s="17"/>
      <c r="AF789" s="17"/>
      <c r="AG789" s="17"/>
      <c r="AH789" s="17"/>
      <c r="AI789" s="17"/>
      <c r="AJ789" s="17"/>
    </row>
    <row r="790" spans="2:36" ht="14.25" customHeight="1" x14ac:dyDescent="0.2">
      <c r="B790" s="16"/>
      <c r="AC790" s="17"/>
      <c r="AD790" s="17"/>
      <c r="AE790" s="17"/>
      <c r="AF790" s="17"/>
      <c r="AG790" s="17"/>
      <c r="AH790" s="17"/>
      <c r="AI790" s="17"/>
      <c r="AJ790" s="17"/>
    </row>
    <row r="791" spans="2:36" ht="14.25" customHeight="1" x14ac:dyDescent="0.2">
      <c r="B791" s="16"/>
      <c r="AC791" s="17"/>
      <c r="AD791" s="17"/>
      <c r="AE791" s="17"/>
      <c r="AF791" s="17"/>
      <c r="AG791" s="17"/>
      <c r="AH791" s="17"/>
      <c r="AI791" s="17"/>
      <c r="AJ791" s="17"/>
    </row>
    <row r="792" spans="2:36" ht="14.25" customHeight="1" x14ac:dyDescent="0.2">
      <c r="B792" s="16"/>
      <c r="AC792" s="17"/>
      <c r="AD792" s="17"/>
      <c r="AE792" s="17"/>
      <c r="AF792" s="17"/>
      <c r="AG792" s="17"/>
      <c r="AH792" s="17"/>
      <c r="AI792" s="17"/>
      <c r="AJ792" s="17"/>
    </row>
    <row r="793" spans="2:36" ht="14.25" customHeight="1" x14ac:dyDescent="0.2">
      <c r="B793" s="16"/>
      <c r="AC793" s="17"/>
      <c r="AD793" s="17"/>
      <c r="AE793" s="17"/>
      <c r="AF793" s="17"/>
      <c r="AG793" s="17"/>
      <c r="AH793" s="17"/>
      <c r="AI793" s="17"/>
      <c r="AJ793" s="17"/>
    </row>
    <row r="794" spans="2:36" ht="14.25" customHeight="1" x14ac:dyDescent="0.2">
      <c r="B794" s="16"/>
      <c r="AC794" s="17"/>
      <c r="AD794" s="17"/>
      <c r="AE794" s="17"/>
      <c r="AF794" s="17"/>
      <c r="AG794" s="17"/>
      <c r="AH794" s="17"/>
      <c r="AI794" s="17"/>
      <c r="AJ794" s="17"/>
    </row>
    <row r="795" spans="2:36" ht="14.25" customHeight="1" x14ac:dyDescent="0.2">
      <c r="B795" s="16"/>
      <c r="AC795" s="17"/>
      <c r="AD795" s="17"/>
      <c r="AE795" s="17"/>
      <c r="AF795" s="17"/>
      <c r="AG795" s="17"/>
      <c r="AH795" s="17"/>
      <c r="AI795" s="17"/>
      <c r="AJ795" s="17"/>
    </row>
    <row r="796" spans="2:36" ht="14.25" customHeight="1" x14ac:dyDescent="0.2">
      <c r="B796" s="16"/>
      <c r="AC796" s="17"/>
      <c r="AD796" s="17"/>
      <c r="AE796" s="17"/>
      <c r="AF796" s="17"/>
      <c r="AG796" s="17"/>
      <c r="AH796" s="17"/>
      <c r="AI796" s="17"/>
      <c r="AJ796" s="17"/>
    </row>
    <row r="797" spans="2:36" ht="14.25" customHeight="1" x14ac:dyDescent="0.2">
      <c r="B797" s="16"/>
      <c r="AC797" s="17"/>
      <c r="AD797" s="17"/>
      <c r="AE797" s="17"/>
      <c r="AF797" s="17"/>
      <c r="AG797" s="17"/>
      <c r="AH797" s="17"/>
      <c r="AI797" s="17"/>
      <c r="AJ797" s="17"/>
    </row>
    <row r="798" spans="2:36" ht="14.25" customHeight="1" x14ac:dyDescent="0.2">
      <c r="B798" s="16"/>
      <c r="AC798" s="17"/>
      <c r="AD798" s="17"/>
      <c r="AE798" s="17"/>
      <c r="AF798" s="17"/>
      <c r="AG798" s="17"/>
      <c r="AH798" s="17"/>
      <c r="AI798" s="17"/>
      <c r="AJ798" s="17"/>
    </row>
    <row r="799" spans="2:36" ht="14.25" customHeight="1" x14ac:dyDescent="0.2">
      <c r="B799" s="16"/>
      <c r="AC799" s="17"/>
      <c r="AD799" s="17"/>
      <c r="AE799" s="17"/>
      <c r="AF799" s="17"/>
      <c r="AG799" s="17"/>
      <c r="AH799" s="17"/>
      <c r="AI799" s="17"/>
      <c r="AJ799" s="17"/>
    </row>
    <row r="800" spans="2:36" ht="14.25" customHeight="1" x14ac:dyDescent="0.2">
      <c r="B800" s="16"/>
      <c r="AC800" s="17"/>
      <c r="AD800" s="17"/>
      <c r="AE800" s="17"/>
      <c r="AF800" s="17"/>
      <c r="AG800" s="17"/>
      <c r="AH800" s="17"/>
      <c r="AI800" s="17"/>
      <c r="AJ800" s="17"/>
    </row>
    <row r="801" spans="2:36" ht="14.25" customHeight="1" x14ac:dyDescent="0.2">
      <c r="B801" s="16"/>
      <c r="AC801" s="17"/>
      <c r="AD801" s="17"/>
      <c r="AE801" s="17"/>
      <c r="AF801" s="17"/>
      <c r="AG801" s="17"/>
      <c r="AH801" s="17"/>
      <c r="AI801" s="17"/>
      <c r="AJ801" s="17"/>
    </row>
    <row r="802" spans="2:36" ht="14.25" customHeight="1" x14ac:dyDescent="0.2">
      <c r="B802" s="16"/>
      <c r="AC802" s="17"/>
      <c r="AD802" s="17"/>
      <c r="AE802" s="17"/>
      <c r="AF802" s="17"/>
      <c r="AG802" s="17"/>
      <c r="AH802" s="17"/>
      <c r="AI802" s="17"/>
      <c r="AJ802" s="17"/>
    </row>
    <row r="803" spans="2:36" ht="14.25" customHeight="1" x14ac:dyDescent="0.2">
      <c r="B803" s="16"/>
      <c r="AC803" s="17"/>
      <c r="AD803" s="17"/>
      <c r="AE803" s="17"/>
      <c r="AF803" s="17"/>
      <c r="AG803" s="17"/>
      <c r="AH803" s="17"/>
      <c r="AI803" s="17"/>
      <c r="AJ803" s="17"/>
    </row>
    <row r="804" spans="2:36" ht="14.25" customHeight="1" x14ac:dyDescent="0.2">
      <c r="B804" s="16"/>
      <c r="AC804" s="17"/>
      <c r="AD804" s="17"/>
      <c r="AE804" s="17"/>
      <c r="AF804" s="17"/>
      <c r="AG804" s="17"/>
      <c r="AH804" s="17"/>
      <c r="AI804" s="17"/>
      <c r="AJ804" s="17"/>
    </row>
    <row r="805" spans="2:36" ht="14.25" customHeight="1" x14ac:dyDescent="0.2">
      <c r="B805" s="16"/>
      <c r="AC805" s="17"/>
      <c r="AD805" s="17"/>
      <c r="AE805" s="17"/>
      <c r="AF805" s="17"/>
      <c r="AG805" s="17"/>
      <c r="AH805" s="17"/>
      <c r="AI805" s="17"/>
      <c r="AJ805" s="17"/>
    </row>
    <row r="806" spans="2:36" ht="14.25" customHeight="1" x14ac:dyDescent="0.2">
      <c r="B806" s="16"/>
      <c r="AC806" s="17"/>
      <c r="AD806" s="17"/>
      <c r="AE806" s="17"/>
      <c r="AF806" s="17"/>
      <c r="AG806" s="17"/>
      <c r="AH806" s="17"/>
      <c r="AI806" s="17"/>
      <c r="AJ806" s="17"/>
    </row>
    <row r="807" spans="2:36" ht="14.25" customHeight="1" x14ac:dyDescent="0.2">
      <c r="B807" s="16"/>
      <c r="AC807" s="17"/>
      <c r="AD807" s="17"/>
      <c r="AE807" s="17"/>
      <c r="AF807" s="17"/>
      <c r="AG807" s="17"/>
      <c r="AH807" s="17"/>
      <c r="AI807" s="17"/>
      <c r="AJ807" s="17"/>
    </row>
    <row r="808" spans="2:36" ht="14.25" customHeight="1" x14ac:dyDescent="0.2">
      <c r="B808" s="16"/>
      <c r="AC808" s="17"/>
      <c r="AD808" s="17"/>
      <c r="AE808" s="17"/>
      <c r="AF808" s="17"/>
      <c r="AG808" s="17"/>
      <c r="AH808" s="17"/>
      <c r="AI808" s="17"/>
      <c r="AJ808" s="17"/>
    </row>
    <row r="809" spans="2:36" ht="14.25" customHeight="1" x14ac:dyDescent="0.2">
      <c r="B809" s="16"/>
      <c r="AC809" s="17"/>
      <c r="AD809" s="17"/>
      <c r="AE809" s="17"/>
      <c r="AF809" s="17"/>
      <c r="AG809" s="17"/>
      <c r="AH809" s="17"/>
      <c r="AI809" s="17"/>
      <c r="AJ809" s="17"/>
    </row>
    <row r="810" spans="2:36" ht="14.25" customHeight="1" x14ac:dyDescent="0.2">
      <c r="B810" s="16"/>
      <c r="AC810" s="17"/>
      <c r="AD810" s="17"/>
      <c r="AE810" s="17"/>
      <c r="AF810" s="17"/>
      <c r="AG810" s="17"/>
      <c r="AH810" s="17"/>
      <c r="AI810" s="17"/>
      <c r="AJ810" s="17"/>
    </row>
    <row r="811" spans="2:36" ht="14.25" customHeight="1" x14ac:dyDescent="0.2">
      <c r="B811" s="16"/>
      <c r="AC811" s="17"/>
      <c r="AD811" s="17"/>
      <c r="AE811" s="17"/>
      <c r="AF811" s="17"/>
      <c r="AG811" s="17"/>
      <c r="AH811" s="17"/>
      <c r="AI811" s="17"/>
      <c r="AJ811" s="17"/>
    </row>
    <row r="812" spans="2:36" ht="14.25" customHeight="1" x14ac:dyDescent="0.2">
      <c r="B812" s="16"/>
      <c r="AC812" s="17"/>
      <c r="AD812" s="17"/>
      <c r="AE812" s="17"/>
      <c r="AF812" s="17"/>
      <c r="AG812" s="17"/>
      <c r="AH812" s="17"/>
      <c r="AI812" s="17"/>
      <c r="AJ812" s="17"/>
    </row>
    <row r="813" spans="2:36" ht="14.25" customHeight="1" x14ac:dyDescent="0.2">
      <c r="B813" s="16"/>
      <c r="AC813" s="17"/>
      <c r="AD813" s="17"/>
      <c r="AE813" s="17"/>
      <c r="AF813" s="17"/>
      <c r="AG813" s="17"/>
      <c r="AH813" s="17"/>
      <c r="AI813" s="17"/>
      <c r="AJ813" s="17"/>
    </row>
    <row r="814" spans="2:36" ht="14.25" customHeight="1" x14ac:dyDescent="0.2">
      <c r="B814" s="16"/>
      <c r="AC814" s="17"/>
      <c r="AD814" s="17"/>
      <c r="AE814" s="17"/>
      <c r="AF814" s="17"/>
      <c r="AG814" s="17"/>
      <c r="AH814" s="17"/>
      <c r="AI814" s="17"/>
      <c r="AJ814" s="17"/>
    </row>
    <row r="815" spans="2:36" ht="14.25" customHeight="1" x14ac:dyDescent="0.2">
      <c r="B815" s="16"/>
      <c r="AC815" s="17"/>
      <c r="AD815" s="17"/>
      <c r="AE815" s="17"/>
      <c r="AF815" s="17"/>
      <c r="AG815" s="17"/>
      <c r="AH815" s="17"/>
      <c r="AI815" s="17"/>
      <c r="AJ815" s="17"/>
    </row>
    <row r="816" spans="2:36" ht="14.25" customHeight="1" x14ac:dyDescent="0.2">
      <c r="B816" s="16"/>
      <c r="AC816" s="17"/>
      <c r="AD816" s="17"/>
      <c r="AE816" s="17"/>
      <c r="AF816" s="17"/>
      <c r="AG816" s="17"/>
      <c r="AH816" s="17"/>
      <c r="AI816" s="17"/>
      <c r="AJ816" s="17"/>
    </row>
    <row r="817" spans="2:36" ht="14.25" customHeight="1" x14ac:dyDescent="0.2">
      <c r="B817" s="16"/>
      <c r="AC817" s="17"/>
      <c r="AD817" s="17"/>
      <c r="AE817" s="17"/>
      <c r="AF817" s="17"/>
      <c r="AG817" s="17"/>
      <c r="AH817" s="17"/>
      <c r="AI817" s="17"/>
      <c r="AJ817" s="17"/>
    </row>
    <row r="818" spans="2:36" ht="14.25" customHeight="1" x14ac:dyDescent="0.2">
      <c r="B818" s="16"/>
      <c r="AC818" s="17"/>
      <c r="AD818" s="17"/>
      <c r="AE818" s="17"/>
      <c r="AF818" s="17"/>
      <c r="AG818" s="17"/>
      <c r="AH818" s="17"/>
      <c r="AI818" s="17"/>
      <c r="AJ818" s="17"/>
    </row>
    <row r="819" spans="2:36" ht="14.25" customHeight="1" x14ac:dyDescent="0.2">
      <c r="B819" s="16"/>
      <c r="AC819" s="17"/>
      <c r="AD819" s="17"/>
      <c r="AE819" s="17"/>
      <c r="AF819" s="17"/>
      <c r="AG819" s="17"/>
      <c r="AH819" s="17"/>
      <c r="AI819" s="17"/>
      <c r="AJ819" s="17"/>
    </row>
    <row r="820" spans="2:36" ht="14.25" customHeight="1" x14ac:dyDescent="0.2">
      <c r="B820" s="16"/>
      <c r="AC820" s="17"/>
      <c r="AD820" s="17"/>
      <c r="AE820" s="17"/>
      <c r="AF820" s="17"/>
      <c r="AG820" s="17"/>
      <c r="AH820" s="17"/>
      <c r="AI820" s="17"/>
      <c r="AJ820" s="17"/>
    </row>
    <row r="821" spans="2:36" ht="14.25" customHeight="1" x14ac:dyDescent="0.2">
      <c r="B821" s="16"/>
      <c r="AC821" s="17"/>
      <c r="AD821" s="17"/>
      <c r="AE821" s="17"/>
      <c r="AF821" s="17"/>
      <c r="AG821" s="17"/>
      <c r="AH821" s="17"/>
      <c r="AI821" s="17"/>
      <c r="AJ821" s="17"/>
    </row>
    <row r="822" spans="2:36" ht="14.25" customHeight="1" x14ac:dyDescent="0.2">
      <c r="B822" s="16"/>
      <c r="AC822" s="17"/>
      <c r="AD822" s="17"/>
      <c r="AE822" s="17"/>
      <c r="AF822" s="17"/>
      <c r="AG822" s="17"/>
      <c r="AH822" s="17"/>
      <c r="AI822" s="17"/>
      <c r="AJ822" s="17"/>
    </row>
    <row r="823" spans="2:36" ht="14.25" customHeight="1" x14ac:dyDescent="0.2">
      <c r="B823" s="16"/>
      <c r="AC823" s="17"/>
      <c r="AD823" s="17"/>
      <c r="AE823" s="17"/>
      <c r="AF823" s="17"/>
      <c r="AG823" s="17"/>
      <c r="AH823" s="17"/>
      <c r="AI823" s="17"/>
      <c r="AJ823" s="17"/>
    </row>
    <row r="824" spans="2:36" ht="14.25" customHeight="1" x14ac:dyDescent="0.2">
      <c r="B824" s="16"/>
      <c r="AC824" s="17"/>
      <c r="AD824" s="17"/>
      <c r="AE824" s="17"/>
      <c r="AF824" s="17"/>
      <c r="AG824" s="17"/>
      <c r="AH824" s="17"/>
      <c r="AI824" s="17"/>
      <c r="AJ824" s="17"/>
    </row>
    <row r="825" spans="2:36" ht="14.25" customHeight="1" x14ac:dyDescent="0.2">
      <c r="B825" s="16"/>
      <c r="AC825" s="17"/>
      <c r="AD825" s="17"/>
      <c r="AE825" s="17"/>
      <c r="AF825" s="17"/>
      <c r="AG825" s="17"/>
      <c r="AH825" s="17"/>
      <c r="AI825" s="17"/>
      <c r="AJ825" s="17"/>
    </row>
    <row r="826" spans="2:36" ht="14.25" customHeight="1" x14ac:dyDescent="0.2">
      <c r="B826" s="16"/>
      <c r="AC826" s="17"/>
      <c r="AD826" s="17"/>
      <c r="AE826" s="17"/>
      <c r="AF826" s="17"/>
      <c r="AG826" s="17"/>
      <c r="AH826" s="17"/>
      <c r="AI826" s="17"/>
      <c r="AJ826" s="17"/>
    </row>
    <row r="827" spans="2:36" ht="14.25" customHeight="1" x14ac:dyDescent="0.2">
      <c r="B827" s="16"/>
      <c r="AC827" s="17"/>
      <c r="AD827" s="17"/>
      <c r="AE827" s="17"/>
      <c r="AF827" s="17"/>
      <c r="AG827" s="17"/>
      <c r="AH827" s="17"/>
      <c r="AI827" s="17"/>
      <c r="AJ827" s="17"/>
    </row>
    <row r="828" spans="2:36" ht="14.25" customHeight="1" x14ac:dyDescent="0.2">
      <c r="B828" s="16"/>
      <c r="AC828" s="17"/>
      <c r="AD828" s="17"/>
      <c r="AE828" s="17"/>
      <c r="AF828" s="17"/>
      <c r="AG828" s="17"/>
      <c r="AH828" s="17"/>
      <c r="AI828" s="17"/>
      <c r="AJ828" s="17"/>
    </row>
    <row r="829" spans="2:36" ht="14.25" customHeight="1" x14ac:dyDescent="0.2">
      <c r="B829" s="16"/>
      <c r="AC829" s="17"/>
      <c r="AD829" s="17"/>
      <c r="AE829" s="17"/>
      <c r="AF829" s="17"/>
      <c r="AG829" s="17"/>
      <c r="AH829" s="17"/>
      <c r="AI829" s="17"/>
      <c r="AJ829" s="17"/>
    </row>
    <row r="830" spans="2:36" ht="14.25" customHeight="1" x14ac:dyDescent="0.2">
      <c r="B830" s="16"/>
      <c r="AC830" s="17"/>
      <c r="AD830" s="17"/>
      <c r="AE830" s="17"/>
      <c r="AF830" s="17"/>
      <c r="AG830" s="17"/>
      <c r="AH830" s="17"/>
      <c r="AI830" s="17"/>
      <c r="AJ830" s="17"/>
    </row>
    <row r="831" spans="2:36" ht="14.25" customHeight="1" x14ac:dyDescent="0.2">
      <c r="B831" s="16"/>
      <c r="AC831" s="17"/>
      <c r="AD831" s="17"/>
      <c r="AE831" s="17"/>
      <c r="AF831" s="17"/>
      <c r="AG831" s="17"/>
      <c r="AH831" s="17"/>
      <c r="AI831" s="17"/>
      <c r="AJ831" s="17"/>
    </row>
    <row r="832" spans="2:36" ht="14.25" customHeight="1" x14ac:dyDescent="0.2">
      <c r="B832" s="16"/>
      <c r="AC832" s="17"/>
      <c r="AD832" s="17"/>
      <c r="AE832" s="17"/>
      <c r="AF832" s="17"/>
      <c r="AG832" s="17"/>
      <c r="AH832" s="17"/>
      <c r="AI832" s="17"/>
      <c r="AJ832" s="17"/>
    </row>
    <row r="833" spans="2:36" ht="14.25" customHeight="1" x14ac:dyDescent="0.2">
      <c r="B833" s="16"/>
      <c r="AC833" s="17"/>
      <c r="AD833" s="17"/>
      <c r="AE833" s="17"/>
      <c r="AF833" s="17"/>
      <c r="AG833" s="17"/>
      <c r="AH833" s="17"/>
      <c r="AI833" s="17"/>
      <c r="AJ833" s="17"/>
    </row>
    <row r="834" spans="2:36" ht="14.25" customHeight="1" x14ac:dyDescent="0.2">
      <c r="B834" s="16"/>
      <c r="AC834" s="17"/>
      <c r="AD834" s="17"/>
      <c r="AE834" s="17"/>
      <c r="AF834" s="17"/>
      <c r="AG834" s="17"/>
      <c r="AH834" s="17"/>
      <c r="AI834" s="17"/>
      <c r="AJ834" s="17"/>
    </row>
    <row r="835" spans="2:36" ht="14.25" customHeight="1" x14ac:dyDescent="0.2">
      <c r="B835" s="16"/>
      <c r="AC835" s="17"/>
      <c r="AD835" s="17"/>
      <c r="AE835" s="17"/>
      <c r="AF835" s="17"/>
      <c r="AG835" s="17"/>
      <c r="AH835" s="17"/>
      <c r="AI835" s="17"/>
      <c r="AJ835" s="17"/>
    </row>
    <row r="836" spans="2:36" ht="14.25" customHeight="1" x14ac:dyDescent="0.2">
      <c r="B836" s="16"/>
      <c r="AC836" s="17"/>
      <c r="AD836" s="17"/>
      <c r="AE836" s="17"/>
      <c r="AF836" s="17"/>
      <c r="AG836" s="17"/>
      <c r="AH836" s="17"/>
      <c r="AI836" s="17"/>
      <c r="AJ836" s="17"/>
    </row>
    <row r="837" spans="2:36" ht="14.25" customHeight="1" x14ac:dyDescent="0.2">
      <c r="B837" s="16"/>
      <c r="AC837" s="17"/>
      <c r="AD837" s="17"/>
      <c r="AE837" s="17"/>
      <c r="AF837" s="17"/>
      <c r="AG837" s="17"/>
      <c r="AH837" s="17"/>
      <c r="AI837" s="17"/>
      <c r="AJ837" s="17"/>
    </row>
    <row r="838" spans="2:36" ht="14.25" customHeight="1" x14ac:dyDescent="0.2">
      <c r="B838" s="16"/>
      <c r="AC838" s="17"/>
      <c r="AD838" s="17"/>
      <c r="AE838" s="17"/>
      <c r="AF838" s="17"/>
      <c r="AG838" s="17"/>
      <c r="AH838" s="17"/>
      <c r="AI838" s="17"/>
      <c r="AJ838" s="17"/>
    </row>
    <row r="839" spans="2:36" ht="14.25" customHeight="1" x14ac:dyDescent="0.2">
      <c r="B839" s="16"/>
      <c r="AC839" s="17"/>
      <c r="AD839" s="17"/>
      <c r="AE839" s="17"/>
      <c r="AF839" s="17"/>
      <c r="AG839" s="17"/>
      <c r="AH839" s="17"/>
      <c r="AI839" s="17"/>
      <c r="AJ839" s="17"/>
    </row>
    <row r="840" spans="2:36" ht="14.25" customHeight="1" x14ac:dyDescent="0.2">
      <c r="B840" s="16"/>
      <c r="AC840" s="17"/>
      <c r="AD840" s="17"/>
      <c r="AE840" s="17"/>
      <c r="AF840" s="17"/>
      <c r="AG840" s="17"/>
      <c r="AH840" s="17"/>
      <c r="AI840" s="17"/>
      <c r="AJ840" s="17"/>
    </row>
    <row r="841" spans="2:36" ht="14.25" customHeight="1" x14ac:dyDescent="0.2">
      <c r="B841" s="16"/>
      <c r="AC841" s="17"/>
      <c r="AD841" s="17"/>
      <c r="AE841" s="17"/>
      <c r="AF841" s="17"/>
      <c r="AG841" s="17"/>
      <c r="AH841" s="17"/>
      <c r="AI841" s="17"/>
      <c r="AJ841" s="17"/>
    </row>
    <row r="842" spans="2:36" ht="14.25" customHeight="1" x14ac:dyDescent="0.2">
      <c r="B842" s="16"/>
      <c r="AC842" s="17"/>
      <c r="AD842" s="17"/>
      <c r="AE842" s="17"/>
      <c r="AF842" s="17"/>
      <c r="AG842" s="17"/>
      <c r="AH842" s="17"/>
      <c r="AI842" s="17"/>
      <c r="AJ842" s="17"/>
    </row>
    <row r="843" spans="2:36" ht="14.25" customHeight="1" x14ac:dyDescent="0.2">
      <c r="B843" s="16"/>
      <c r="AC843" s="17"/>
      <c r="AD843" s="17"/>
      <c r="AE843" s="17"/>
      <c r="AF843" s="17"/>
      <c r="AG843" s="17"/>
      <c r="AH843" s="17"/>
      <c r="AI843" s="17"/>
      <c r="AJ843" s="17"/>
    </row>
    <row r="844" spans="2:36" ht="14.25" customHeight="1" x14ac:dyDescent="0.2">
      <c r="B844" s="16"/>
      <c r="AC844" s="17"/>
      <c r="AD844" s="17"/>
      <c r="AE844" s="17"/>
      <c r="AF844" s="17"/>
      <c r="AG844" s="17"/>
      <c r="AH844" s="17"/>
      <c r="AI844" s="17"/>
      <c r="AJ844" s="17"/>
    </row>
    <row r="845" spans="2:36" ht="14.25" customHeight="1" x14ac:dyDescent="0.2">
      <c r="B845" s="16"/>
      <c r="AC845" s="17"/>
      <c r="AD845" s="17"/>
      <c r="AE845" s="17"/>
      <c r="AF845" s="17"/>
      <c r="AG845" s="17"/>
      <c r="AH845" s="17"/>
      <c r="AI845" s="17"/>
      <c r="AJ845" s="17"/>
    </row>
    <row r="846" spans="2:36" ht="14.25" customHeight="1" x14ac:dyDescent="0.2">
      <c r="B846" s="16"/>
      <c r="AC846" s="17"/>
      <c r="AD846" s="17"/>
      <c r="AE846" s="17"/>
      <c r="AF846" s="17"/>
      <c r="AG846" s="17"/>
      <c r="AH846" s="17"/>
      <c r="AI846" s="17"/>
      <c r="AJ846" s="17"/>
    </row>
    <row r="847" spans="2:36" ht="14.25" customHeight="1" x14ac:dyDescent="0.2">
      <c r="B847" s="16"/>
      <c r="AC847" s="17"/>
      <c r="AD847" s="17"/>
      <c r="AE847" s="17"/>
      <c r="AF847" s="17"/>
      <c r="AG847" s="17"/>
      <c r="AH847" s="17"/>
      <c r="AI847" s="17"/>
      <c r="AJ847" s="17"/>
    </row>
    <row r="848" spans="2:36" ht="14.25" customHeight="1" x14ac:dyDescent="0.2">
      <c r="B848" s="16"/>
      <c r="AC848" s="17"/>
      <c r="AD848" s="17"/>
      <c r="AE848" s="17"/>
      <c r="AF848" s="17"/>
      <c r="AG848" s="17"/>
      <c r="AH848" s="17"/>
      <c r="AI848" s="17"/>
      <c r="AJ848" s="17"/>
    </row>
    <row r="849" spans="2:36" ht="14.25" customHeight="1" x14ac:dyDescent="0.2">
      <c r="B849" s="16"/>
      <c r="AC849" s="17"/>
      <c r="AD849" s="17"/>
      <c r="AE849" s="17"/>
      <c r="AF849" s="17"/>
      <c r="AG849" s="17"/>
      <c r="AH849" s="17"/>
      <c r="AI849" s="17"/>
      <c r="AJ849" s="17"/>
    </row>
    <row r="850" spans="2:36" ht="14.25" customHeight="1" x14ac:dyDescent="0.2">
      <c r="B850" s="16"/>
      <c r="AC850" s="17"/>
      <c r="AD850" s="17"/>
      <c r="AE850" s="17"/>
      <c r="AF850" s="17"/>
      <c r="AG850" s="17"/>
      <c r="AH850" s="17"/>
      <c r="AI850" s="17"/>
      <c r="AJ850" s="17"/>
    </row>
    <row r="851" spans="2:36" ht="14.25" customHeight="1" x14ac:dyDescent="0.2">
      <c r="B851" s="16"/>
      <c r="AC851" s="17"/>
      <c r="AD851" s="17"/>
      <c r="AE851" s="17"/>
      <c r="AF851" s="17"/>
      <c r="AG851" s="17"/>
      <c r="AH851" s="17"/>
      <c r="AI851" s="17"/>
      <c r="AJ851" s="17"/>
    </row>
    <row r="852" spans="2:36" ht="14.25" customHeight="1" x14ac:dyDescent="0.2">
      <c r="B852" s="16"/>
      <c r="AC852" s="17"/>
      <c r="AD852" s="17"/>
      <c r="AE852" s="17"/>
      <c r="AF852" s="17"/>
      <c r="AG852" s="17"/>
      <c r="AH852" s="17"/>
      <c r="AI852" s="17"/>
      <c r="AJ852" s="17"/>
    </row>
    <row r="853" spans="2:36" ht="14.25" customHeight="1" x14ac:dyDescent="0.2">
      <c r="B853" s="16"/>
      <c r="AC853" s="17"/>
      <c r="AD853" s="17"/>
      <c r="AE853" s="17"/>
      <c r="AF853" s="17"/>
      <c r="AG853" s="17"/>
      <c r="AH853" s="17"/>
      <c r="AI853" s="17"/>
      <c r="AJ853" s="17"/>
    </row>
    <row r="854" spans="2:36" ht="14.25" customHeight="1" x14ac:dyDescent="0.2">
      <c r="B854" s="16"/>
      <c r="AC854" s="17"/>
      <c r="AD854" s="17"/>
      <c r="AE854" s="17"/>
      <c r="AF854" s="17"/>
      <c r="AG854" s="17"/>
      <c r="AH854" s="17"/>
      <c r="AI854" s="17"/>
      <c r="AJ854" s="17"/>
    </row>
    <row r="855" spans="2:36" ht="14.25" customHeight="1" x14ac:dyDescent="0.2">
      <c r="B855" s="16"/>
      <c r="AC855" s="17"/>
      <c r="AD855" s="17"/>
      <c r="AE855" s="17"/>
      <c r="AF855" s="17"/>
      <c r="AG855" s="17"/>
      <c r="AH855" s="17"/>
      <c r="AI855" s="17"/>
      <c r="AJ855" s="17"/>
    </row>
    <row r="856" spans="2:36" ht="14.25" customHeight="1" x14ac:dyDescent="0.2">
      <c r="B856" s="16"/>
      <c r="AC856" s="17"/>
      <c r="AD856" s="17"/>
      <c r="AE856" s="17"/>
      <c r="AF856" s="17"/>
      <c r="AG856" s="17"/>
      <c r="AH856" s="17"/>
      <c r="AI856" s="17"/>
      <c r="AJ856" s="17"/>
    </row>
    <row r="857" spans="2:36" ht="14.25" customHeight="1" x14ac:dyDescent="0.2">
      <c r="B857" s="16"/>
      <c r="AC857" s="17"/>
      <c r="AD857" s="17"/>
      <c r="AE857" s="17"/>
      <c r="AF857" s="17"/>
      <c r="AG857" s="17"/>
      <c r="AH857" s="17"/>
      <c r="AI857" s="17"/>
      <c r="AJ857" s="17"/>
    </row>
    <row r="858" spans="2:36" ht="14.25" customHeight="1" x14ac:dyDescent="0.2">
      <c r="B858" s="16"/>
      <c r="AC858" s="17"/>
      <c r="AD858" s="17"/>
      <c r="AE858" s="17"/>
      <c r="AF858" s="17"/>
      <c r="AG858" s="17"/>
      <c r="AH858" s="17"/>
      <c r="AI858" s="17"/>
      <c r="AJ858" s="17"/>
    </row>
    <row r="859" spans="2:36" ht="14.25" customHeight="1" x14ac:dyDescent="0.2">
      <c r="B859" s="16"/>
      <c r="AC859" s="17"/>
      <c r="AD859" s="17"/>
      <c r="AE859" s="17"/>
      <c r="AF859" s="17"/>
      <c r="AG859" s="17"/>
      <c r="AH859" s="17"/>
      <c r="AI859" s="17"/>
      <c r="AJ859" s="17"/>
    </row>
    <row r="860" spans="2:36" ht="14.25" customHeight="1" x14ac:dyDescent="0.2">
      <c r="B860" s="16"/>
      <c r="AC860" s="17"/>
      <c r="AD860" s="17"/>
      <c r="AE860" s="17"/>
      <c r="AF860" s="17"/>
      <c r="AG860" s="17"/>
      <c r="AH860" s="17"/>
      <c r="AI860" s="17"/>
      <c r="AJ860" s="17"/>
    </row>
    <row r="861" spans="2:36" ht="14.25" customHeight="1" x14ac:dyDescent="0.2">
      <c r="B861" s="16"/>
      <c r="AC861" s="17"/>
      <c r="AD861" s="17"/>
      <c r="AE861" s="17"/>
      <c r="AF861" s="17"/>
      <c r="AG861" s="17"/>
      <c r="AH861" s="17"/>
      <c r="AI861" s="17"/>
      <c r="AJ861" s="17"/>
    </row>
    <row r="862" spans="2:36" ht="14.25" customHeight="1" x14ac:dyDescent="0.2">
      <c r="B862" s="16"/>
      <c r="AC862" s="17"/>
      <c r="AD862" s="17"/>
      <c r="AE862" s="17"/>
      <c r="AF862" s="17"/>
      <c r="AG862" s="17"/>
      <c r="AH862" s="17"/>
      <c r="AI862" s="17"/>
      <c r="AJ862" s="17"/>
    </row>
    <row r="863" spans="2:36" ht="14.25" customHeight="1" x14ac:dyDescent="0.2">
      <c r="B863" s="16"/>
      <c r="AC863" s="17"/>
      <c r="AD863" s="17"/>
      <c r="AE863" s="17"/>
      <c r="AF863" s="17"/>
      <c r="AG863" s="17"/>
      <c r="AH863" s="17"/>
      <c r="AI863" s="17"/>
      <c r="AJ863" s="17"/>
    </row>
    <row r="864" spans="2:36" ht="14.25" customHeight="1" x14ac:dyDescent="0.2">
      <c r="B864" s="16"/>
      <c r="AC864" s="17"/>
      <c r="AD864" s="17"/>
      <c r="AE864" s="17"/>
      <c r="AF864" s="17"/>
      <c r="AG864" s="17"/>
      <c r="AH864" s="17"/>
      <c r="AI864" s="17"/>
      <c r="AJ864" s="17"/>
    </row>
    <row r="865" spans="2:36" ht="14.25" customHeight="1" x14ac:dyDescent="0.2">
      <c r="B865" s="16"/>
      <c r="AC865" s="17"/>
      <c r="AD865" s="17"/>
      <c r="AE865" s="17"/>
      <c r="AF865" s="17"/>
      <c r="AG865" s="17"/>
      <c r="AH865" s="17"/>
      <c r="AI865" s="17"/>
      <c r="AJ865" s="17"/>
    </row>
    <row r="866" spans="2:36" ht="14.25" customHeight="1" x14ac:dyDescent="0.2">
      <c r="B866" s="16"/>
      <c r="AC866" s="17"/>
      <c r="AD866" s="17"/>
      <c r="AE866" s="17"/>
      <c r="AF866" s="17"/>
      <c r="AG866" s="17"/>
      <c r="AH866" s="17"/>
      <c r="AI866" s="17"/>
      <c r="AJ866" s="17"/>
    </row>
    <row r="867" spans="2:36" ht="14.25" customHeight="1" x14ac:dyDescent="0.2">
      <c r="B867" s="16"/>
      <c r="AC867" s="17"/>
      <c r="AD867" s="17"/>
      <c r="AE867" s="17"/>
      <c r="AF867" s="17"/>
      <c r="AG867" s="17"/>
      <c r="AH867" s="17"/>
      <c r="AI867" s="17"/>
      <c r="AJ867" s="17"/>
    </row>
    <row r="868" spans="2:36" ht="14.25" customHeight="1" x14ac:dyDescent="0.2">
      <c r="B868" s="16"/>
      <c r="AC868" s="17"/>
      <c r="AD868" s="17"/>
      <c r="AE868" s="17"/>
      <c r="AF868" s="17"/>
      <c r="AG868" s="17"/>
      <c r="AH868" s="17"/>
      <c r="AI868" s="17"/>
      <c r="AJ868" s="17"/>
    </row>
    <row r="869" spans="2:36" ht="14.25" customHeight="1" x14ac:dyDescent="0.2">
      <c r="B869" s="16"/>
      <c r="AC869" s="17"/>
      <c r="AD869" s="17"/>
      <c r="AE869" s="17"/>
      <c r="AF869" s="17"/>
      <c r="AG869" s="17"/>
      <c r="AH869" s="17"/>
      <c r="AI869" s="17"/>
      <c r="AJ869" s="17"/>
    </row>
    <row r="870" spans="2:36" ht="14.25" customHeight="1" x14ac:dyDescent="0.2">
      <c r="B870" s="16"/>
      <c r="AC870" s="17"/>
      <c r="AD870" s="17"/>
      <c r="AE870" s="17"/>
      <c r="AF870" s="17"/>
      <c r="AG870" s="17"/>
      <c r="AH870" s="17"/>
      <c r="AI870" s="17"/>
      <c r="AJ870" s="17"/>
    </row>
    <row r="871" spans="2:36" ht="14.25" customHeight="1" x14ac:dyDescent="0.2">
      <c r="B871" s="16"/>
      <c r="AC871" s="17"/>
      <c r="AD871" s="17"/>
      <c r="AE871" s="17"/>
      <c r="AF871" s="17"/>
      <c r="AG871" s="17"/>
      <c r="AH871" s="17"/>
      <c r="AI871" s="17"/>
      <c r="AJ871" s="17"/>
    </row>
    <row r="872" spans="2:36" ht="14.25" customHeight="1" x14ac:dyDescent="0.2">
      <c r="B872" s="16"/>
      <c r="AC872" s="17"/>
      <c r="AD872" s="17"/>
      <c r="AE872" s="17"/>
      <c r="AF872" s="17"/>
      <c r="AG872" s="17"/>
      <c r="AH872" s="17"/>
      <c r="AI872" s="17"/>
      <c r="AJ872" s="17"/>
    </row>
    <row r="873" spans="2:36" ht="14.25" customHeight="1" x14ac:dyDescent="0.2">
      <c r="B873" s="16"/>
      <c r="AC873" s="17"/>
      <c r="AD873" s="17"/>
      <c r="AE873" s="17"/>
      <c r="AF873" s="17"/>
      <c r="AG873" s="17"/>
      <c r="AH873" s="17"/>
      <c r="AI873" s="17"/>
      <c r="AJ873" s="17"/>
    </row>
    <row r="874" spans="2:36" ht="14.25" customHeight="1" x14ac:dyDescent="0.2">
      <c r="B874" s="16"/>
      <c r="AC874" s="17"/>
      <c r="AD874" s="17"/>
      <c r="AE874" s="17"/>
      <c r="AF874" s="17"/>
      <c r="AG874" s="17"/>
      <c r="AH874" s="17"/>
      <c r="AI874" s="17"/>
      <c r="AJ874" s="17"/>
    </row>
    <row r="875" spans="2:36" ht="14.25" customHeight="1" x14ac:dyDescent="0.2">
      <c r="B875" s="16"/>
      <c r="AC875" s="17"/>
      <c r="AD875" s="17"/>
      <c r="AE875" s="17"/>
      <c r="AF875" s="17"/>
      <c r="AG875" s="17"/>
      <c r="AH875" s="17"/>
      <c r="AI875" s="17"/>
      <c r="AJ875" s="17"/>
    </row>
    <row r="876" spans="2:36" ht="14.25" customHeight="1" x14ac:dyDescent="0.2">
      <c r="B876" s="16"/>
      <c r="AC876" s="17"/>
      <c r="AD876" s="17"/>
      <c r="AE876" s="17"/>
      <c r="AF876" s="17"/>
      <c r="AG876" s="17"/>
      <c r="AH876" s="17"/>
      <c r="AI876" s="17"/>
      <c r="AJ876" s="17"/>
    </row>
    <row r="877" spans="2:36" ht="14.25" customHeight="1" x14ac:dyDescent="0.2">
      <c r="B877" s="16"/>
      <c r="AC877" s="17"/>
      <c r="AD877" s="17"/>
      <c r="AE877" s="17"/>
      <c r="AF877" s="17"/>
      <c r="AG877" s="17"/>
      <c r="AH877" s="17"/>
      <c r="AI877" s="17"/>
      <c r="AJ877" s="17"/>
    </row>
    <row r="878" spans="2:36" ht="14.25" customHeight="1" x14ac:dyDescent="0.2">
      <c r="B878" s="16"/>
      <c r="AC878" s="17"/>
      <c r="AD878" s="17"/>
      <c r="AE878" s="17"/>
      <c r="AF878" s="17"/>
      <c r="AG878" s="17"/>
      <c r="AH878" s="17"/>
      <c r="AI878" s="17"/>
      <c r="AJ878" s="17"/>
    </row>
    <row r="879" spans="2:36" ht="14.25" customHeight="1" x14ac:dyDescent="0.2">
      <c r="B879" s="16"/>
      <c r="AC879" s="17"/>
      <c r="AD879" s="17"/>
      <c r="AE879" s="17"/>
      <c r="AF879" s="17"/>
      <c r="AG879" s="17"/>
      <c r="AH879" s="17"/>
      <c r="AI879" s="17"/>
      <c r="AJ879" s="17"/>
    </row>
    <row r="880" spans="2:36" ht="14.25" customHeight="1" x14ac:dyDescent="0.2">
      <c r="B880" s="16"/>
      <c r="AC880" s="17"/>
      <c r="AD880" s="17"/>
      <c r="AE880" s="17"/>
      <c r="AF880" s="17"/>
      <c r="AG880" s="17"/>
      <c r="AH880" s="17"/>
      <c r="AI880" s="17"/>
      <c r="AJ880" s="17"/>
    </row>
    <row r="881" spans="2:36" ht="14.25" customHeight="1" x14ac:dyDescent="0.2">
      <c r="B881" s="16"/>
      <c r="AC881" s="17"/>
      <c r="AD881" s="17"/>
      <c r="AE881" s="17"/>
      <c r="AF881" s="17"/>
      <c r="AG881" s="17"/>
      <c r="AH881" s="17"/>
      <c r="AI881" s="17"/>
      <c r="AJ881" s="17"/>
    </row>
    <row r="882" spans="2:36" ht="14.25" customHeight="1" x14ac:dyDescent="0.2">
      <c r="B882" s="16"/>
      <c r="AC882" s="17"/>
      <c r="AD882" s="17"/>
      <c r="AE882" s="17"/>
      <c r="AF882" s="17"/>
      <c r="AG882" s="17"/>
      <c r="AH882" s="17"/>
      <c r="AI882" s="17"/>
      <c r="AJ882" s="17"/>
    </row>
    <row r="883" spans="2:36" ht="14.25" customHeight="1" x14ac:dyDescent="0.2">
      <c r="B883" s="16"/>
      <c r="AC883" s="17"/>
      <c r="AD883" s="17"/>
      <c r="AE883" s="17"/>
      <c r="AF883" s="17"/>
      <c r="AG883" s="17"/>
      <c r="AH883" s="17"/>
      <c r="AI883" s="17"/>
      <c r="AJ883" s="17"/>
    </row>
    <row r="884" spans="2:36" ht="14.25" customHeight="1" x14ac:dyDescent="0.2">
      <c r="B884" s="16"/>
      <c r="AC884" s="17"/>
      <c r="AD884" s="17"/>
      <c r="AE884" s="17"/>
      <c r="AF884" s="17"/>
      <c r="AG884" s="17"/>
      <c r="AH884" s="17"/>
      <c r="AI884" s="17"/>
      <c r="AJ884" s="17"/>
    </row>
    <row r="885" spans="2:36" ht="14.25" customHeight="1" x14ac:dyDescent="0.2">
      <c r="B885" s="16"/>
      <c r="AC885" s="17"/>
      <c r="AD885" s="17"/>
      <c r="AE885" s="17"/>
      <c r="AF885" s="17"/>
      <c r="AG885" s="17"/>
      <c r="AH885" s="17"/>
      <c r="AI885" s="17"/>
      <c r="AJ885" s="17"/>
    </row>
    <row r="886" spans="2:36" ht="14.25" customHeight="1" x14ac:dyDescent="0.2">
      <c r="B886" s="16"/>
      <c r="AC886" s="17"/>
      <c r="AD886" s="17"/>
      <c r="AE886" s="17"/>
      <c r="AF886" s="17"/>
      <c r="AG886" s="17"/>
      <c r="AH886" s="17"/>
      <c r="AI886" s="17"/>
      <c r="AJ886" s="17"/>
    </row>
    <row r="887" spans="2:36" ht="14.25" customHeight="1" x14ac:dyDescent="0.2">
      <c r="B887" s="16"/>
      <c r="AC887" s="17"/>
      <c r="AD887" s="17"/>
      <c r="AE887" s="17"/>
      <c r="AF887" s="17"/>
      <c r="AG887" s="17"/>
      <c r="AH887" s="17"/>
      <c r="AI887" s="17"/>
      <c r="AJ887" s="17"/>
    </row>
    <row r="888" spans="2:36" ht="14.25" customHeight="1" x14ac:dyDescent="0.2">
      <c r="B888" s="16"/>
      <c r="AC888" s="17"/>
      <c r="AD888" s="17"/>
      <c r="AE888" s="17"/>
      <c r="AF888" s="17"/>
      <c r="AG888" s="17"/>
      <c r="AH888" s="17"/>
      <c r="AI888" s="17"/>
      <c r="AJ888" s="17"/>
    </row>
    <row r="889" spans="2:36" ht="14.25" customHeight="1" x14ac:dyDescent="0.2">
      <c r="B889" s="16"/>
      <c r="AC889" s="17"/>
      <c r="AD889" s="17"/>
      <c r="AE889" s="17"/>
      <c r="AF889" s="17"/>
      <c r="AG889" s="17"/>
      <c r="AH889" s="17"/>
      <c r="AI889" s="17"/>
      <c r="AJ889" s="17"/>
    </row>
    <row r="890" spans="2:36" ht="14.25" customHeight="1" x14ac:dyDescent="0.2">
      <c r="B890" s="16"/>
      <c r="AC890" s="17"/>
      <c r="AD890" s="17"/>
      <c r="AE890" s="17"/>
      <c r="AF890" s="17"/>
      <c r="AG890" s="17"/>
      <c r="AH890" s="17"/>
      <c r="AI890" s="17"/>
      <c r="AJ890" s="17"/>
    </row>
    <row r="891" spans="2:36" ht="14.25" customHeight="1" x14ac:dyDescent="0.2">
      <c r="B891" s="16"/>
      <c r="AC891" s="17"/>
      <c r="AD891" s="17"/>
      <c r="AE891" s="17"/>
      <c r="AF891" s="17"/>
      <c r="AG891" s="17"/>
      <c r="AH891" s="17"/>
      <c r="AI891" s="17"/>
      <c r="AJ891" s="17"/>
    </row>
    <row r="892" spans="2:36" ht="14.25" customHeight="1" x14ac:dyDescent="0.2">
      <c r="B892" s="16"/>
      <c r="AC892" s="17"/>
      <c r="AD892" s="17"/>
      <c r="AE892" s="17"/>
      <c r="AF892" s="17"/>
      <c r="AG892" s="17"/>
      <c r="AH892" s="17"/>
      <c r="AI892" s="17"/>
      <c r="AJ892" s="17"/>
    </row>
    <row r="893" spans="2:36" ht="14.25" customHeight="1" x14ac:dyDescent="0.2">
      <c r="B893" s="16"/>
      <c r="AC893" s="17"/>
      <c r="AD893" s="17"/>
      <c r="AE893" s="17"/>
      <c r="AF893" s="17"/>
      <c r="AG893" s="17"/>
      <c r="AH893" s="17"/>
      <c r="AI893" s="17"/>
      <c r="AJ893" s="17"/>
    </row>
    <row r="894" spans="2:36" ht="14.25" customHeight="1" x14ac:dyDescent="0.2">
      <c r="B894" s="16"/>
      <c r="AC894" s="17"/>
      <c r="AD894" s="17"/>
      <c r="AE894" s="17"/>
      <c r="AF894" s="17"/>
      <c r="AG894" s="17"/>
      <c r="AH894" s="17"/>
      <c r="AI894" s="17"/>
      <c r="AJ894" s="17"/>
    </row>
    <row r="895" spans="2:36" ht="14.25" customHeight="1" x14ac:dyDescent="0.2">
      <c r="B895" s="16"/>
      <c r="AC895" s="17"/>
      <c r="AD895" s="17"/>
      <c r="AE895" s="17"/>
      <c r="AF895" s="17"/>
      <c r="AG895" s="17"/>
      <c r="AH895" s="17"/>
      <c r="AI895" s="17"/>
      <c r="AJ895" s="17"/>
    </row>
    <row r="896" spans="2:36" ht="14.25" customHeight="1" x14ac:dyDescent="0.2">
      <c r="B896" s="16"/>
      <c r="AC896" s="17"/>
      <c r="AD896" s="17"/>
      <c r="AE896" s="17"/>
      <c r="AF896" s="17"/>
      <c r="AG896" s="17"/>
      <c r="AH896" s="17"/>
      <c r="AI896" s="17"/>
      <c r="AJ896" s="17"/>
    </row>
    <row r="897" spans="2:36" ht="14.25" customHeight="1" x14ac:dyDescent="0.2">
      <c r="B897" s="16"/>
      <c r="AC897" s="17"/>
      <c r="AD897" s="17"/>
      <c r="AE897" s="17"/>
      <c r="AF897" s="17"/>
      <c r="AG897" s="17"/>
      <c r="AH897" s="17"/>
      <c r="AI897" s="17"/>
      <c r="AJ897" s="17"/>
    </row>
    <row r="898" spans="2:36" ht="14.25" customHeight="1" x14ac:dyDescent="0.2">
      <c r="B898" s="16"/>
      <c r="AC898" s="17"/>
      <c r="AD898" s="17"/>
      <c r="AE898" s="17"/>
      <c r="AF898" s="17"/>
      <c r="AG898" s="17"/>
      <c r="AH898" s="17"/>
      <c r="AI898" s="17"/>
      <c r="AJ898" s="17"/>
    </row>
    <row r="899" spans="2:36" ht="14.25" customHeight="1" x14ac:dyDescent="0.2">
      <c r="B899" s="16"/>
      <c r="AC899" s="17"/>
      <c r="AD899" s="17"/>
      <c r="AE899" s="17"/>
      <c r="AF899" s="17"/>
      <c r="AG899" s="17"/>
      <c r="AH899" s="17"/>
      <c r="AI899" s="17"/>
      <c r="AJ899" s="17"/>
    </row>
    <row r="900" spans="2:36" ht="14.25" customHeight="1" x14ac:dyDescent="0.2">
      <c r="B900" s="16"/>
      <c r="AC900" s="17"/>
      <c r="AD900" s="17"/>
      <c r="AE900" s="17"/>
      <c r="AF900" s="17"/>
      <c r="AG900" s="17"/>
      <c r="AH900" s="17"/>
      <c r="AI900" s="17"/>
      <c r="AJ900" s="17"/>
    </row>
    <row r="901" spans="2:36" ht="14.25" customHeight="1" x14ac:dyDescent="0.2">
      <c r="B901" s="16"/>
      <c r="AC901" s="17"/>
      <c r="AD901" s="17"/>
      <c r="AE901" s="17"/>
      <c r="AF901" s="17"/>
      <c r="AG901" s="17"/>
      <c r="AH901" s="17"/>
      <c r="AI901" s="17"/>
      <c r="AJ901" s="17"/>
    </row>
    <row r="902" spans="2:36" ht="14.25" customHeight="1" x14ac:dyDescent="0.2">
      <c r="B902" s="16"/>
      <c r="AC902" s="17"/>
      <c r="AD902" s="17"/>
      <c r="AE902" s="17"/>
      <c r="AF902" s="17"/>
      <c r="AG902" s="17"/>
      <c r="AH902" s="17"/>
      <c r="AI902" s="17"/>
      <c r="AJ902" s="17"/>
    </row>
    <row r="903" spans="2:36" ht="14.25" customHeight="1" x14ac:dyDescent="0.2">
      <c r="B903" s="16"/>
      <c r="AC903" s="17"/>
      <c r="AD903" s="17"/>
      <c r="AE903" s="17"/>
      <c r="AF903" s="17"/>
      <c r="AG903" s="17"/>
      <c r="AH903" s="17"/>
      <c r="AI903" s="17"/>
      <c r="AJ903" s="17"/>
    </row>
    <row r="904" spans="2:36" ht="14.25" customHeight="1" x14ac:dyDescent="0.2">
      <c r="B904" s="16"/>
      <c r="AC904" s="17"/>
      <c r="AD904" s="17"/>
      <c r="AE904" s="17"/>
      <c r="AF904" s="17"/>
      <c r="AG904" s="17"/>
      <c r="AH904" s="17"/>
      <c r="AI904" s="17"/>
      <c r="AJ904" s="17"/>
    </row>
    <row r="905" spans="2:36" ht="14.25" customHeight="1" x14ac:dyDescent="0.2">
      <c r="B905" s="16"/>
      <c r="AC905" s="17"/>
      <c r="AD905" s="17"/>
      <c r="AE905" s="17"/>
      <c r="AF905" s="17"/>
      <c r="AG905" s="17"/>
      <c r="AH905" s="17"/>
      <c r="AI905" s="17"/>
      <c r="AJ905" s="17"/>
    </row>
    <row r="906" spans="2:36" ht="14.25" customHeight="1" x14ac:dyDescent="0.2">
      <c r="B906" s="16"/>
      <c r="AC906" s="17"/>
      <c r="AD906" s="17"/>
      <c r="AE906" s="17"/>
      <c r="AF906" s="17"/>
      <c r="AG906" s="17"/>
      <c r="AH906" s="17"/>
      <c r="AI906" s="17"/>
      <c r="AJ906" s="17"/>
    </row>
    <row r="907" spans="2:36" ht="14.25" customHeight="1" x14ac:dyDescent="0.2">
      <c r="B907" s="16"/>
      <c r="AC907" s="17"/>
      <c r="AD907" s="17"/>
      <c r="AE907" s="17"/>
      <c r="AF907" s="17"/>
      <c r="AG907" s="17"/>
      <c r="AH907" s="17"/>
      <c r="AI907" s="17"/>
      <c r="AJ907" s="17"/>
    </row>
    <row r="908" spans="2:36" ht="14.25" customHeight="1" x14ac:dyDescent="0.2">
      <c r="B908" s="16"/>
      <c r="AC908" s="17"/>
      <c r="AD908" s="17"/>
      <c r="AE908" s="17"/>
      <c r="AF908" s="17"/>
      <c r="AG908" s="17"/>
      <c r="AH908" s="17"/>
      <c r="AI908" s="17"/>
      <c r="AJ908" s="17"/>
    </row>
    <row r="909" spans="2:36" ht="14.25" customHeight="1" x14ac:dyDescent="0.2">
      <c r="B909" s="16"/>
      <c r="AC909" s="17"/>
      <c r="AD909" s="17"/>
      <c r="AE909" s="17"/>
      <c r="AF909" s="17"/>
      <c r="AG909" s="17"/>
      <c r="AH909" s="17"/>
      <c r="AI909" s="17"/>
      <c r="AJ909" s="17"/>
    </row>
    <row r="910" spans="2:36" ht="14.25" customHeight="1" x14ac:dyDescent="0.2">
      <c r="B910" s="16"/>
      <c r="AC910" s="17"/>
      <c r="AD910" s="17"/>
      <c r="AE910" s="17"/>
      <c r="AF910" s="17"/>
      <c r="AG910" s="17"/>
      <c r="AH910" s="17"/>
      <c r="AI910" s="17"/>
      <c r="AJ910" s="17"/>
    </row>
    <row r="911" spans="2:36" ht="14.25" customHeight="1" x14ac:dyDescent="0.2">
      <c r="B911" s="16"/>
      <c r="AC911" s="17"/>
      <c r="AD911" s="17"/>
      <c r="AE911" s="17"/>
      <c r="AF911" s="17"/>
      <c r="AG911" s="17"/>
      <c r="AH911" s="17"/>
      <c r="AI911" s="17"/>
      <c r="AJ911" s="17"/>
    </row>
    <row r="912" spans="2:36" ht="14.25" customHeight="1" x14ac:dyDescent="0.2">
      <c r="B912" s="16"/>
      <c r="AC912" s="17"/>
      <c r="AD912" s="17"/>
      <c r="AE912" s="17"/>
      <c r="AF912" s="17"/>
      <c r="AG912" s="17"/>
      <c r="AH912" s="17"/>
      <c r="AI912" s="17"/>
      <c r="AJ912" s="17"/>
    </row>
    <row r="913" spans="2:36" ht="14.25" customHeight="1" x14ac:dyDescent="0.2">
      <c r="B913" s="16"/>
      <c r="AC913" s="17"/>
      <c r="AD913" s="17"/>
      <c r="AE913" s="17"/>
      <c r="AF913" s="17"/>
      <c r="AG913" s="17"/>
      <c r="AH913" s="17"/>
      <c r="AI913" s="17"/>
      <c r="AJ913" s="17"/>
    </row>
    <row r="914" spans="2:36" ht="14.25" customHeight="1" x14ac:dyDescent="0.2">
      <c r="B914" s="16"/>
      <c r="AC914" s="17"/>
      <c r="AD914" s="17"/>
      <c r="AE914" s="17"/>
      <c r="AF914" s="17"/>
      <c r="AG914" s="17"/>
      <c r="AH914" s="17"/>
      <c r="AI914" s="17"/>
      <c r="AJ914" s="17"/>
    </row>
    <row r="915" spans="2:36" ht="14.25" customHeight="1" x14ac:dyDescent="0.2">
      <c r="B915" s="16"/>
      <c r="AC915" s="17"/>
      <c r="AD915" s="17"/>
      <c r="AE915" s="17"/>
      <c r="AF915" s="17"/>
      <c r="AG915" s="17"/>
      <c r="AH915" s="17"/>
      <c r="AI915" s="17"/>
      <c r="AJ915" s="17"/>
    </row>
    <row r="916" spans="2:36" ht="14.25" customHeight="1" x14ac:dyDescent="0.2">
      <c r="B916" s="16"/>
      <c r="AC916" s="17"/>
      <c r="AD916" s="17"/>
      <c r="AE916" s="17"/>
      <c r="AF916" s="17"/>
      <c r="AG916" s="17"/>
      <c r="AH916" s="17"/>
      <c r="AI916" s="17"/>
      <c r="AJ916" s="17"/>
    </row>
    <row r="917" spans="2:36" ht="14.25" customHeight="1" x14ac:dyDescent="0.2">
      <c r="B917" s="16"/>
      <c r="AC917" s="17"/>
      <c r="AD917" s="17"/>
      <c r="AE917" s="17"/>
      <c r="AF917" s="17"/>
      <c r="AG917" s="17"/>
      <c r="AH917" s="17"/>
      <c r="AI917" s="17"/>
      <c r="AJ917" s="17"/>
    </row>
    <row r="918" spans="2:36" ht="14.25" customHeight="1" x14ac:dyDescent="0.2">
      <c r="B918" s="16"/>
      <c r="AC918" s="17"/>
      <c r="AD918" s="17"/>
      <c r="AE918" s="17"/>
      <c r="AF918" s="17"/>
      <c r="AG918" s="17"/>
      <c r="AH918" s="17"/>
      <c r="AI918" s="17"/>
      <c r="AJ918" s="17"/>
    </row>
    <row r="919" spans="2:36" ht="14.25" customHeight="1" x14ac:dyDescent="0.2">
      <c r="B919" s="16"/>
      <c r="AC919" s="17"/>
      <c r="AD919" s="17"/>
      <c r="AE919" s="17"/>
      <c r="AF919" s="17"/>
      <c r="AG919" s="17"/>
      <c r="AH919" s="17"/>
      <c r="AI919" s="17"/>
      <c r="AJ919" s="17"/>
    </row>
    <row r="920" spans="2:36" ht="14.25" customHeight="1" x14ac:dyDescent="0.2">
      <c r="B920" s="16"/>
      <c r="AC920" s="17"/>
      <c r="AD920" s="17"/>
      <c r="AE920" s="17"/>
      <c r="AF920" s="17"/>
      <c r="AG920" s="17"/>
      <c r="AH920" s="17"/>
      <c r="AI920" s="17"/>
      <c r="AJ920" s="17"/>
    </row>
    <row r="921" spans="2:36" ht="14.25" customHeight="1" x14ac:dyDescent="0.2">
      <c r="B921" s="16"/>
      <c r="AC921" s="17"/>
      <c r="AD921" s="17"/>
      <c r="AE921" s="17"/>
      <c r="AF921" s="17"/>
      <c r="AG921" s="17"/>
      <c r="AH921" s="17"/>
      <c r="AI921" s="17"/>
      <c r="AJ921" s="17"/>
    </row>
    <row r="922" spans="2:36" ht="14.25" customHeight="1" x14ac:dyDescent="0.2">
      <c r="B922" s="16"/>
      <c r="AC922" s="17"/>
      <c r="AD922" s="17"/>
      <c r="AE922" s="17"/>
      <c r="AF922" s="17"/>
      <c r="AG922" s="17"/>
      <c r="AH922" s="17"/>
      <c r="AI922" s="17"/>
      <c r="AJ922" s="17"/>
    </row>
    <row r="923" spans="2:36" ht="14.25" customHeight="1" x14ac:dyDescent="0.2">
      <c r="B923" s="16"/>
      <c r="AC923" s="17"/>
      <c r="AD923" s="17"/>
      <c r="AE923" s="17"/>
      <c r="AF923" s="17"/>
      <c r="AG923" s="17"/>
      <c r="AH923" s="17"/>
      <c r="AI923" s="17"/>
      <c r="AJ923" s="17"/>
    </row>
    <row r="924" spans="2:36" ht="14.25" customHeight="1" x14ac:dyDescent="0.2">
      <c r="B924" s="16"/>
      <c r="AC924" s="17"/>
      <c r="AD924" s="17"/>
      <c r="AE924" s="17"/>
      <c r="AF924" s="17"/>
      <c r="AG924" s="17"/>
      <c r="AH924" s="17"/>
      <c r="AI924" s="17"/>
      <c r="AJ924" s="17"/>
    </row>
    <row r="925" spans="2:36" ht="14.25" customHeight="1" x14ac:dyDescent="0.2">
      <c r="B925" s="16"/>
      <c r="AC925" s="17"/>
      <c r="AD925" s="17"/>
      <c r="AE925" s="17"/>
      <c r="AF925" s="17"/>
      <c r="AG925" s="17"/>
      <c r="AH925" s="17"/>
      <c r="AI925" s="17"/>
      <c r="AJ925" s="17"/>
    </row>
    <row r="926" spans="2:36" ht="14.25" customHeight="1" x14ac:dyDescent="0.2">
      <c r="B926" s="16"/>
      <c r="AC926" s="17"/>
      <c r="AD926" s="17"/>
      <c r="AE926" s="17"/>
      <c r="AF926" s="17"/>
      <c r="AG926" s="17"/>
      <c r="AH926" s="17"/>
      <c r="AI926" s="17"/>
      <c r="AJ926" s="17"/>
    </row>
    <row r="927" spans="2:36" ht="14.25" customHeight="1" x14ac:dyDescent="0.2">
      <c r="B927" s="16"/>
      <c r="AC927" s="17"/>
      <c r="AD927" s="17"/>
      <c r="AE927" s="17"/>
      <c r="AF927" s="17"/>
      <c r="AG927" s="17"/>
      <c r="AH927" s="17"/>
      <c r="AI927" s="17"/>
      <c r="AJ927" s="17"/>
    </row>
    <row r="928" spans="2:36" ht="14.25" customHeight="1" x14ac:dyDescent="0.2">
      <c r="B928" s="16"/>
      <c r="AC928" s="17"/>
      <c r="AD928" s="17"/>
      <c r="AE928" s="17"/>
      <c r="AF928" s="17"/>
      <c r="AG928" s="17"/>
      <c r="AH928" s="17"/>
      <c r="AI928" s="17"/>
      <c r="AJ928" s="17"/>
    </row>
    <row r="929" spans="2:36" ht="14.25" customHeight="1" x14ac:dyDescent="0.2">
      <c r="B929" s="16"/>
      <c r="AC929" s="17"/>
      <c r="AD929" s="17"/>
      <c r="AE929" s="17"/>
      <c r="AF929" s="17"/>
      <c r="AG929" s="17"/>
      <c r="AH929" s="17"/>
      <c r="AI929" s="17"/>
      <c r="AJ929" s="17"/>
    </row>
    <row r="930" spans="2:36" ht="14.25" customHeight="1" x14ac:dyDescent="0.2">
      <c r="B930" s="16"/>
      <c r="AC930" s="17"/>
      <c r="AD930" s="17"/>
      <c r="AE930" s="17"/>
      <c r="AF930" s="17"/>
      <c r="AG930" s="17"/>
      <c r="AH930" s="17"/>
      <c r="AI930" s="17"/>
      <c r="AJ930" s="17"/>
    </row>
    <row r="931" spans="2:36" ht="14.25" customHeight="1" x14ac:dyDescent="0.2">
      <c r="B931" s="16"/>
      <c r="AC931" s="17"/>
      <c r="AD931" s="17"/>
      <c r="AE931" s="17"/>
      <c r="AF931" s="17"/>
      <c r="AG931" s="17"/>
      <c r="AH931" s="17"/>
      <c r="AI931" s="17"/>
      <c r="AJ931" s="17"/>
    </row>
    <row r="932" spans="2:36" ht="14.25" customHeight="1" x14ac:dyDescent="0.2">
      <c r="B932" s="16"/>
      <c r="AC932" s="17"/>
      <c r="AD932" s="17"/>
      <c r="AE932" s="17"/>
      <c r="AF932" s="17"/>
      <c r="AG932" s="17"/>
      <c r="AH932" s="17"/>
      <c r="AI932" s="17"/>
      <c r="AJ932" s="17"/>
    </row>
    <row r="933" spans="2:36" ht="14.25" customHeight="1" x14ac:dyDescent="0.2">
      <c r="B933" s="16"/>
      <c r="AC933" s="17"/>
      <c r="AD933" s="17"/>
      <c r="AE933" s="17"/>
      <c r="AF933" s="17"/>
      <c r="AG933" s="17"/>
      <c r="AH933" s="17"/>
      <c r="AI933" s="17"/>
      <c r="AJ933" s="17"/>
    </row>
    <row r="934" spans="2:36" ht="14.25" customHeight="1" x14ac:dyDescent="0.2">
      <c r="B934" s="16"/>
      <c r="AC934" s="17"/>
      <c r="AD934" s="17"/>
      <c r="AE934" s="17"/>
      <c r="AF934" s="17"/>
      <c r="AG934" s="17"/>
      <c r="AH934" s="17"/>
      <c r="AI934" s="17"/>
      <c r="AJ934" s="17"/>
    </row>
    <row r="935" spans="2:36" ht="14.25" customHeight="1" x14ac:dyDescent="0.2">
      <c r="B935" s="16"/>
      <c r="AC935" s="17"/>
      <c r="AD935" s="17"/>
      <c r="AE935" s="17"/>
      <c r="AF935" s="17"/>
      <c r="AG935" s="17"/>
      <c r="AH935" s="17"/>
      <c r="AI935" s="17"/>
      <c r="AJ935" s="17"/>
    </row>
    <row r="936" spans="2:36" ht="14.25" customHeight="1" x14ac:dyDescent="0.2">
      <c r="B936" s="16"/>
      <c r="AC936" s="17"/>
      <c r="AD936" s="17"/>
      <c r="AE936" s="17"/>
      <c r="AF936" s="17"/>
      <c r="AG936" s="17"/>
      <c r="AH936" s="17"/>
      <c r="AI936" s="17"/>
      <c r="AJ936" s="17"/>
    </row>
    <row r="937" spans="2:36" ht="14.25" customHeight="1" x14ac:dyDescent="0.2">
      <c r="B937" s="16"/>
      <c r="AC937" s="17"/>
      <c r="AD937" s="17"/>
      <c r="AE937" s="17"/>
      <c r="AF937" s="17"/>
      <c r="AG937" s="17"/>
      <c r="AH937" s="17"/>
      <c r="AI937" s="17"/>
      <c r="AJ937" s="17"/>
    </row>
    <row r="938" spans="2:36" ht="14.25" customHeight="1" x14ac:dyDescent="0.2">
      <c r="B938" s="16"/>
      <c r="AC938" s="17"/>
      <c r="AD938" s="17"/>
      <c r="AE938" s="17"/>
      <c r="AF938" s="17"/>
      <c r="AG938" s="17"/>
      <c r="AH938" s="17"/>
      <c r="AI938" s="17"/>
      <c r="AJ938" s="17"/>
    </row>
    <row r="939" spans="2:36" ht="14.25" customHeight="1" x14ac:dyDescent="0.2">
      <c r="B939" s="16"/>
      <c r="AC939" s="17"/>
      <c r="AD939" s="17"/>
      <c r="AE939" s="17"/>
      <c r="AF939" s="17"/>
      <c r="AG939" s="17"/>
      <c r="AH939" s="17"/>
      <c r="AI939" s="17"/>
      <c r="AJ939" s="17"/>
    </row>
    <row r="940" spans="2:36" ht="14.25" customHeight="1" x14ac:dyDescent="0.2">
      <c r="B940" s="16"/>
      <c r="AC940" s="17"/>
      <c r="AD940" s="17"/>
      <c r="AE940" s="17"/>
      <c r="AF940" s="17"/>
      <c r="AG940" s="17"/>
      <c r="AH940" s="17"/>
      <c r="AI940" s="17"/>
      <c r="AJ940" s="17"/>
    </row>
    <row r="941" spans="2:36" ht="14.25" customHeight="1" x14ac:dyDescent="0.2">
      <c r="B941" s="16"/>
      <c r="AC941" s="17"/>
      <c r="AD941" s="17"/>
      <c r="AE941" s="17"/>
      <c r="AF941" s="17"/>
      <c r="AG941" s="17"/>
      <c r="AH941" s="17"/>
      <c r="AI941" s="17"/>
      <c r="AJ941" s="17"/>
    </row>
    <row r="942" spans="2:36" ht="14.25" customHeight="1" x14ac:dyDescent="0.2">
      <c r="B942" s="16"/>
      <c r="AC942" s="17"/>
      <c r="AD942" s="17"/>
      <c r="AE942" s="17"/>
      <c r="AF942" s="17"/>
      <c r="AG942" s="17"/>
      <c r="AH942" s="17"/>
      <c r="AI942" s="17"/>
      <c r="AJ942" s="17"/>
    </row>
    <row r="943" spans="2:36" ht="14.25" customHeight="1" x14ac:dyDescent="0.2">
      <c r="B943" s="16"/>
      <c r="AC943" s="17"/>
      <c r="AD943" s="17"/>
      <c r="AE943" s="17"/>
      <c r="AF943" s="17"/>
      <c r="AG943" s="17"/>
      <c r="AH943" s="17"/>
      <c r="AI943" s="17"/>
      <c r="AJ943" s="17"/>
    </row>
    <row r="944" spans="2:36" ht="14.25" customHeight="1" x14ac:dyDescent="0.2">
      <c r="B944" s="16"/>
      <c r="AC944" s="17"/>
      <c r="AD944" s="17"/>
      <c r="AE944" s="17"/>
      <c r="AF944" s="17"/>
      <c r="AG944" s="17"/>
      <c r="AH944" s="17"/>
      <c r="AI944" s="17"/>
      <c r="AJ944" s="17"/>
    </row>
    <row r="945" spans="2:36" ht="14.25" customHeight="1" x14ac:dyDescent="0.2">
      <c r="B945" s="16"/>
      <c r="AC945" s="17"/>
      <c r="AD945" s="17"/>
      <c r="AE945" s="17"/>
      <c r="AF945" s="17"/>
      <c r="AG945" s="17"/>
      <c r="AH945" s="17"/>
      <c r="AI945" s="17"/>
      <c r="AJ945" s="17"/>
    </row>
    <row r="946" spans="2:36" ht="14.25" customHeight="1" x14ac:dyDescent="0.2">
      <c r="B946" s="16"/>
      <c r="AC946" s="17"/>
      <c r="AD946" s="17"/>
      <c r="AE946" s="17"/>
      <c r="AF946" s="17"/>
      <c r="AG946" s="17"/>
      <c r="AH946" s="17"/>
      <c r="AI946" s="17"/>
      <c r="AJ946" s="17"/>
    </row>
    <row r="947" spans="2:36" ht="14.25" customHeight="1" x14ac:dyDescent="0.2">
      <c r="B947" s="16"/>
      <c r="AC947" s="17"/>
      <c r="AD947" s="17"/>
      <c r="AE947" s="17"/>
      <c r="AF947" s="17"/>
      <c r="AG947" s="17"/>
      <c r="AH947" s="17"/>
      <c r="AI947" s="17"/>
      <c r="AJ947" s="17"/>
    </row>
    <row r="948" spans="2:36" ht="14.25" customHeight="1" x14ac:dyDescent="0.2">
      <c r="B948" s="16"/>
      <c r="AC948" s="17"/>
      <c r="AD948" s="17"/>
      <c r="AE948" s="17"/>
      <c r="AF948" s="17"/>
      <c r="AG948" s="17"/>
      <c r="AH948" s="17"/>
      <c r="AI948" s="17"/>
      <c r="AJ948" s="17"/>
    </row>
    <row r="949" spans="2:36" ht="14.25" customHeight="1" x14ac:dyDescent="0.2">
      <c r="B949" s="16"/>
      <c r="AC949" s="17"/>
      <c r="AD949" s="17"/>
      <c r="AE949" s="17"/>
      <c r="AF949" s="17"/>
      <c r="AG949" s="17"/>
      <c r="AH949" s="17"/>
      <c r="AI949" s="17"/>
      <c r="AJ949" s="17"/>
    </row>
    <row r="950" spans="2:36" ht="14.25" customHeight="1" x14ac:dyDescent="0.2">
      <c r="B950" s="16"/>
      <c r="AC950" s="17"/>
      <c r="AD950" s="17"/>
      <c r="AE950" s="17"/>
      <c r="AF950" s="17"/>
      <c r="AG950" s="17"/>
      <c r="AH950" s="17"/>
      <c r="AI950" s="17"/>
      <c r="AJ950" s="17"/>
    </row>
    <row r="951" spans="2:36" ht="14.25" customHeight="1" x14ac:dyDescent="0.2">
      <c r="B951" s="16"/>
      <c r="AC951" s="17"/>
      <c r="AD951" s="17"/>
      <c r="AE951" s="17"/>
      <c r="AF951" s="17"/>
      <c r="AG951" s="17"/>
      <c r="AH951" s="17"/>
      <c r="AI951" s="17"/>
      <c r="AJ951" s="17"/>
    </row>
    <row r="952" spans="2:36" ht="14.25" customHeight="1" x14ac:dyDescent="0.2">
      <c r="B952" s="16"/>
      <c r="AC952" s="17"/>
      <c r="AD952" s="17"/>
      <c r="AE952" s="17"/>
      <c r="AF952" s="17"/>
      <c r="AG952" s="17"/>
      <c r="AH952" s="17"/>
      <c r="AI952" s="17"/>
      <c r="AJ952" s="17"/>
    </row>
    <row r="953" spans="2:36" ht="14.25" customHeight="1" x14ac:dyDescent="0.2">
      <c r="B953" s="16"/>
      <c r="AC953" s="17"/>
      <c r="AD953" s="17"/>
      <c r="AE953" s="17"/>
      <c r="AF953" s="17"/>
      <c r="AG953" s="17"/>
      <c r="AH953" s="17"/>
      <c r="AI953" s="17"/>
      <c r="AJ953" s="17"/>
    </row>
    <row r="954" spans="2:36" ht="14.25" customHeight="1" x14ac:dyDescent="0.2">
      <c r="B954" s="16"/>
      <c r="AC954" s="17"/>
      <c r="AD954" s="17"/>
      <c r="AE954" s="17"/>
      <c r="AF954" s="17"/>
      <c r="AG954" s="17"/>
      <c r="AH954" s="17"/>
      <c r="AI954" s="17"/>
      <c r="AJ954" s="17"/>
    </row>
    <row r="955" spans="2:36" ht="14.25" customHeight="1" x14ac:dyDescent="0.2">
      <c r="B955" s="16"/>
      <c r="AC955" s="17"/>
      <c r="AD955" s="17"/>
      <c r="AE955" s="17"/>
      <c r="AF955" s="17"/>
      <c r="AG955" s="17"/>
      <c r="AH955" s="17"/>
      <c r="AI955" s="17"/>
      <c r="AJ955" s="17"/>
    </row>
    <row r="956" spans="2:36" ht="14.25" customHeight="1" x14ac:dyDescent="0.2">
      <c r="B956" s="16"/>
      <c r="AC956" s="17"/>
      <c r="AD956" s="17"/>
      <c r="AE956" s="17"/>
      <c r="AF956" s="17"/>
      <c r="AG956" s="17"/>
      <c r="AH956" s="17"/>
      <c r="AI956" s="17"/>
      <c r="AJ956" s="17"/>
    </row>
    <row r="957" spans="2:36" ht="14.25" customHeight="1" x14ac:dyDescent="0.2">
      <c r="B957" s="16"/>
      <c r="AC957" s="17"/>
      <c r="AD957" s="17"/>
      <c r="AE957" s="17"/>
      <c r="AF957" s="17"/>
      <c r="AG957" s="17"/>
      <c r="AH957" s="17"/>
      <c r="AI957" s="17"/>
      <c r="AJ957" s="17"/>
    </row>
    <row r="958" spans="2:36" ht="14.25" customHeight="1" x14ac:dyDescent="0.2">
      <c r="B958" s="16"/>
      <c r="AC958" s="17"/>
      <c r="AD958" s="17"/>
      <c r="AE958" s="17"/>
      <c r="AF958" s="17"/>
      <c r="AG958" s="17"/>
      <c r="AH958" s="17"/>
      <c r="AI958" s="17"/>
      <c r="AJ958" s="17"/>
    </row>
    <row r="959" spans="2:36" ht="14.25" customHeight="1" x14ac:dyDescent="0.2">
      <c r="B959" s="16"/>
      <c r="AC959" s="17"/>
      <c r="AD959" s="17"/>
      <c r="AE959" s="17"/>
      <c r="AF959" s="17"/>
      <c r="AG959" s="17"/>
      <c r="AH959" s="17"/>
      <c r="AI959" s="17"/>
      <c r="AJ959" s="17"/>
    </row>
    <row r="960" spans="2:36" ht="14.25" customHeight="1" x14ac:dyDescent="0.2">
      <c r="B960" s="16"/>
      <c r="AC960" s="17"/>
      <c r="AD960" s="17"/>
      <c r="AE960" s="17"/>
      <c r="AF960" s="17"/>
      <c r="AG960" s="17"/>
      <c r="AH960" s="17"/>
      <c r="AI960" s="17"/>
      <c r="AJ960" s="17"/>
    </row>
    <row r="961" spans="2:36" ht="14.25" customHeight="1" x14ac:dyDescent="0.2">
      <c r="B961" s="16"/>
      <c r="AC961" s="17"/>
      <c r="AD961" s="17"/>
      <c r="AE961" s="17"/>
      <c r="AF961" s="17"/>
      <c r="AG961" s="17"/>
      <c r="AH961" s="17"/>
      <c r="AI961" s="17"/>
      <c r="AJ961" s="17"/>
    </row>
    <row r="962" spans="2:36" ht="14.25" customHeight="1" x14ac:dyDescent="0.2">
      <c r="B962" s="16"/>
      <c r="AC962" s="17"/>
      <c r="AD962" s="17"/>
      <c r="AE962" s="17"/>
      <c r="AF962" s="17"/>
      <c r="AG962" s="17"/>
      <c r="AH962" s="17"/>
      <c r="AI962" s="17"/>
      <c r="AJ962" s="17"/>
    </row>
    <row r="963" spans="2:36" ht="14.25" customHeight="1" x14ac:dyDescent="0.2">
      <c r="B963" s="16"/>
      <c r="AC963" s="17"/>
      <c r="AD963" s="17"/>
      <c r="AE963" s="17"/>
      <c r="AF963" s="17"/>
      <c r="AG963" s="17"/>
      <c r="AH963" s="17"/>
      <c r="AI963" s="17"/>
      <c r="AJ963" s="17"/>
    </row>
    <row r="964" spans="2:36" ht="14.25" customHeight="1" x14ac:dyDescent="0.2">
      <c r="B964" s="16"/>
      <c r="AC964" s="17"/>
      <c r="AD964" s="17"/>
      <c r="AE964" s="17"/>
      <c r="AF964" s="17"/>
      <c r="AG964" s="17"/>
      <c r="AH964" s="17"/>
      <c r="AI964" s="17"/>
      <c r="AJ964" s="17"/>
    </row>
    <row r="965" spans="2:36" ht="14.25" customHeight="1" x14ac:dyDescent="0.2">
      <c r="B965" s="16"/>
      <c r="AC965" s="17"/>
      <c r="AD965" s="17"/>
      <c r="AE965" s="17"/>
      <c r="AF965" s="17"/>
      <c r="AG965" s="17"/>
      <c r="AH965" s="17"/>
      <c r="AI965" s="17"/>
      <c r="AJ965" s="17"/>
    </row>
    <row r="966" spans="2:36" ht="14.25" customHeight="1" x14ac:dyDescent="0.2">
      <c r="B966" s="16"/>
      <c r="AC966" s="17"/>
      <c r="AD966" s="17"/>
      <c r="AE966" s="17"/>
      <c r="AF966" s="17"/>
      <c r="AG966" s="17"/>
      <c r="AH966" s="17"/>
      <c r="AI966" s="17"/>
      <c r="AJ966" s="17"/>
    </row>
    <row r="967" spans="2:36" ht="14.25" customHeight="1" x14ac:dyDescent="0.2">
      <c r="B967" s="16"/>
      <c r="AC967" s="17"/>
      <c r="AD967" s="17"/>
      <c r="AE967" s="17"/>
      <c r="AF967" s="17"/>
      <c r="AG967" s="17"/>
      <c r="AH967" s="17"/>
      <c r="AI967" s="17"/>
      <c r="AJ967" s="17"/>
    </row>
    <row r="968" spans="2:36" ht="14.25" customHeight="1" x14ac:dyDescent="0.2">
      <c r="B968" s="16"/>
      <c r="AC968" s="17"/>
      <c r="AD968" s="17"/>
      <c r="AE968" s="17"/>
      <c r="AF968" s="17"/>
      <c r="AG968" s="17"/>
      <c r="AH968" s="17"/>
      <c r="AI968" s="17"/>
      <c r="AJ968" s="17"/>
    </row>
    <row r="969" spans="2:36" ht="14.25" customHeight="1" x14ac:dyDescent="0.2">
      <c r="B969" s="16"/>
      <c r="AC969" s="17"/>
      <c r="AD969" s="17"/>
      <c r="AE969" s="17"/>
      <c r="AF969" s="17"/>
      <c r="AG969" s="17"/>
      <c r="AH969" s="17"/>
      <c r="AI969" s="17"/>
      <c r="AJ969" s="17"/>
    </row>
    <row r="970" spans="2:36" ht="14.25" customHeight="1" x14ac:dyDescent="0.2">
      <c r="B970" s="16"/>
      <c r="AC970" s="17"/>
      <c r="AD970" s="17"/>
      <c r="AE970" s="17"/>
      <c r="AF970" s="17"/>
      <c r="AG970" s="17"/>
      <c r="AH970" s="17"/>
      <c r="AI970" s="17"/>
      <c r="AJ970" s="17"/>
    </row>
    <row r="971" spans="2:36" ht="14.25" customHeight="1" x14ac:dyDescent="0.2">
      <c r="B971" s="16"/>
      <c r="AC971" s="17"/>
      <c r="AD971" s="17"/>
      <c r="AE971" s="17"/>
      <c r="AF971" s="17"/>
      <c r="AG971" s="17"/>
      <c r="AH971" s="17"/>
      <c r="AI971" s="17"/>
      <c r="AJ971" s="17"/>
    </row>
    <row r="972" spans="2:36" ht="14.25" customHeight="1" x14ac:dyDescent="0.2">
      <c r="B972" s="16"/>
      <c r="AC972" s="17"/>
      <c r="AD972" s="17"/>
      <c r="AE972" s="17"/>
      <c r="AF972" s="17"/>
      <c r="AG972" s="17"/>
      <c r="AH972" s="17"/>
      <c r="AI972" s="17"/>
      <c r="AJ972" s="17"/>
    </row>
    <row r="973" spans="2:36" ht="14.25" customHeight="1" x14ac:dyDescent="0.2">
      <c r="B973" s="16"/>
      <c r="AC973" s="17"/>
      <c r="AD973" s="17"/>
      <c r="AE973" s="17"/>
      <c r="AF973" s="17"/>
      <c r="AG973" s="17"/>
      <c r="AH973" s="17"/>
      <c r="AI973" s="17"/>
      <c r="AJ973" s="17"/>
    </row>
    <row r="974" spans="2:36" ht="14.25" customHeight="1" x14ac:dyDescent="0.2">
      <c r="B974" s="16"/>
      <c r="AC974" s="17"/>
      <c r="AD974" s="17"/>
      <c r="AE974" s="17"/>
      <c r="AF974" s="17"/>
      <c r="AG974" s="17"/>
      <c r="AH974" s="17"/>
      <c r="AI974" s="17"/>
      <c r="AJ974" s="17"/>
    </row>
    <row r="975" spans="2:36" ht="14.25" customHeight="1" x14ac:dyDescent="0.2">
      <c r="B975" s="16"/>
      <c r="AC975" s="17"/>
      <c r="AD975" s="17"/>
      <c r="AE975" s="17"/>
      <c r="AF975" s="17"/>
      <c r="AG975" s="17"/>
      <c r="AH975" s="17"/>
      <c r="AI975" s="17"/>
      <c r="AJ975" s="17"/>
    </row>
    <row r="976" spans="2:36" ht="14.25" customHeight="1" x14ac:dyDescent="0.2">
      <c r="B976" s="16"/>
      <c r="AC976" s="17"/>
      <c r="AD976" s="17"/>
      <c r="AE976" s="17"/>
      <c r="AF976" s="17"/>
      <c r="AG976" s="17"/>
      <c r="AH976" s="17"/>
      <c r="AI976" s="17"/>
      <c r="AJ976" s="17"/>
    </row>
    <row r="977" spans="2:36" ht="14.25" customHeight="1" x14ac:dyDescent="0.2">
      <c r="B977" s="16"/>
      <c r="AC977" s="17"/>
      <c r="AD977" s="17"/>
      <c r="AE977" s="17"/>
      <c r="AF977" s="17"/>
      <c r="AG977" s="17"/>
      <c r="AH977" s="17"/>
      <c r="AI977" s="17"/>
      <c r="AJ977" s="17"/>
    </row>
    <row r="978" spans="2:36" ht="14.25" customHeight="1" x14ac:dyDescent="0.2">
      <c r="B978" s="16"/>
      <c r="AC978" s="17"/>
      <c r="AD978" s="17"/>
      <c r="AE978" s="17"/>
      <c r="AF978" s="17"/>
      <c r="AG978" s="17"/>
      <c r="AH978" s="17"/>
      <c r="AI978" s="17"/>
      <c r="AJ978" s="17"/>
    </row>
    <row r="979" spans="2:36" ht="14.25" customHeight="1" x14ac:dyDescent="0.2">
      <c r="B979" s="16"/>
      <c r="AC979" s="17"/>
      <c r="AD979" s="17"/>
      <c r="AE979" s="17"/>
      <c r="AF979" s="17"/>
      <c r="AG979" s="17"/>
      <c r="AH979" s="17"/>
      <c r="AI979" s="17"/>
      <c r="AJ979" s="17"/>
    </row>
    <row r="980" spans="2:36" ht="14.25" customHeight="1" x14ac:dyDescent="0.2">
      <c r="B980" s="16"/>
      <c r="AC980" s="17"/>
      <c r="AD980" s="17"/>
      <c r="AE980" s="17"/>
      <c r="AF980" s="17"/>
      <c r="AG980" s="17"/>
      <c r="AH980" s="17"/>
      <c r="AI980" s="17"/>
      <c r="AJ980" s="17"/>
    </row>
    <row r="981" spans="2:36" ht="14.25" customHeight="1" x14ac:dyDescent="0.2">
      <c r="B981" s="16"/>
      <c r="AC981" s="17"/>
      <c r="AD981" s="17"/>
      <c r="AE981" s="17"/>
      <c r="AF981" s="17"/>
      <c r="AG981" s="17"/>
      <c r="AH981" s="17"/>
      <c r="AI981" s="17"/>
      <c r="AJ981" s="17"/>
    </row>
    <row r="982" spans="2:36" ht="14.25" customHeight="1" x14ac:dyDescent="0.2">
      <c r="B982" s="16"/>
      <c r="AC982" s="17"/>
      <c r="AD982" s="17"/>
      <c r="AE982" s="17"/>
      <c r="AF982" s="17"/>
      <c r="AG982" s="17"/>
      <c r="AH982" s="17"/>
      <c r="AI982" s="17"/>
      <c r="AJ982" s="17"/>
    </row>
    <row r="983" spans="2:36" ht="14.25" customHeight="1" x14ac:dyDescent="0.2">
      <c r="B983" s="16"/>
      <c r="AC983" s="17"/>
      <c r="AD983" s="17"/>
      <c r="AE983" s="17"/>
      <c r="AF983" s="17"/>
      <c r="AG983" s="17"/>
      <c r="AH983" s="17"/>
      <c r="AI983" s="17"/>
      <c r="AJ983" s="17"/>
    </row>
    <row r="984" spans="2:36" ht="14.25" customHeight="1" x14ac:dyDescent="0.2">
      <c r="B984" s="16"/>
      <c r="AC984" s="17"/>
      <c r="AD984" s="17"/>
      <c r="AE984" s="17"/>
      <c r="AF984" s="17"/>
      <c r="AG984" s="17"/>
      <c r="AH984" s="17"/>
      <c r="AI984" s="17"/>
      <c r="AJ984" s="17"/>
    </row>
    <row r="985" spans="2:36" ht="14.25" customHeight="1" x14ac:dyDescent="0.2">
      <c r="B985" s="16"/>
      <c r="AC985" s="17"/>
      <c r="AD985" s="17"/>
      <c r="AE985" s="17"/>
      <c r="AF985" s="17"/>
      <c r="AG985" s="17"/>
      <c r="AH985" s="17"/>
      <c r="AI985" s="17"/>
      <c r="AJ985" s="17"/>
    </row>
    <row r="986" spans="2:36" ht="14.25" customHeight="1" x14ac:dyDescent="0.2">
      <c r="B986" s="16"/>
      <c r="AC986" s="17"/>
      <c r="AD986" s="17"/>
      <c r="AE986" s="17"/>
      <c r="AF986" s="17"/>
      <c r="AG986" s="17"/>
      <c r="AH986" s="17"/>
      <c r="AI986" s="17"/>
      <c r="AJ986" s="17"/>
    </row>
    <row r="987" spans="2:36" ht="14.25" customHeight="1" x14ac:dyDescent="0.2">
      <c r="B987" s="16"/>
      <c r="AC987" s="17"/>
      <c r="AD987" s="17"/>
      <c r="AE987" s="17"/>
      <c r="AF987" s="17"/>
      <c r="AG987" s="17"/>
      <c r="AH987" s="17"/>
      <c r="AI987" s="17"/>
      <c r="AJ987" s="17"/>
    </row>
    <row r="988" spans="2:36" ht="14.25" customHeight="1" x14ac:dyDescent="0.2">
      <c r="B988" s="16"/>
      <c r="AC988" s="17"/>
      <c r="AD988" s="17"/>
      <c r="AE988" s="17"/>
      <c r="AF988" s="17"/>
      <c r="AG988" s="17"/>
      <c r="AH988" s="17"/>
      <c r="AI988" s="17"/>
      <c r="AJ988" s="17"/>
    </row>
    <row r="989" spans="2:36" ht="14.25" customHeight="1" x14ac:dyDescent="0.2">
      <c r="B989" s="16"/>
      <c r="AC989" s="17"/>
      <c r="AD989" s="17"/>
      <c r="AE989" s="17"/>
      <c r="AF989" s="17"/>
      <c r="AG989" s="17"/>
      <c r="AH989" s="17"/>
      <c r="AI989" s="17"/>
      <c r="AJ989" s="17"/>
    </row>
    <row r="990" spans="2:36" ht="14.25" customHeight="1" x14ac:dyDescent="0.2">
      <c r="B990" s="16"/>
      <c r="AC990" s="17"/>
      <c r="AD990" s="17"/>
      <c r="AE990" s="17"/>
      <c r="AF990" s="17"/>
      <c r="AG990" s="17"/>
      <c r="AH990" s="17"/>
      <c r="AI990" s="17"/>
      <c r="AJ990" s="17"/>
    </row>
    <row r="991" spans="2:36" ht="14.25" customHeight="1" x14ac:dyDescent="0.2">
      <c r="B991" s="16"/>
      <c r="AC991" s="17"/>
      <c r="AD991" s="17"/>
      <c r="AE991" s="17"/>
      <c r="AF991" s="17"/>
      <c r="AG991" s="17"/>
      <c r="AH991" s="17"/>
      <c r="AI991" s="17"/>
      <c r="AJ991" s="17"/>
    </row>
    <row r="992" spans="2:36" ht="14.25" customHeight="1" x14ac:dyDescent="0.2">
      <c r="B992" s="16"/>
      <c r="AC992" s="17"/>
      <c r="AD992" s="17"/>
      <c r="AE992" s="17"/>
      <c r="AF992" s="17"/>
      <c r="AG992" s="17"/>
      <c r="AH992" s="17"/>
      <c r="AI992" s="17"/>
      <c r="AJ992" s="17"/>
    </row>
    <row r="993" spans="2:36" ht="14.25" customHeight="1" x14ac:dyDescent="0.2">
      <c r="B993" s="16"/>
      <c r="AC993" s="17"/>
      <c r="AD993" s="17"/>
      <c r="AE993" s="17"/>
      <c r="AF993" s="17"/>
      <c r="AG993" s="17"/>
      <c r="AH993" s="17"/>
      <c r="AI993" s="17"/>
      <c r="AJ993" s="17"/>
    </row>
    <row r="994" spans="2:36" ht="14.25" customHeight="1" x14ac:dyDescent="0.2">
      <c r="B994" s="16"/>
      <c r="AC994" s="17"/>
      <c r="AD994" s="17"/>
      <c r="AE994" s="17"/>
      <c r="AF994" s="17"/>
      <c r="AG994" s="17"/>
      <c r="AH994" s="17"/>
      <c r="AI994" s="17"/>
      <c r="AJ994" s="17"/>
    </row>
  </sheetData>
  <hyperlinks>
    <hyperlink ref="J2" r:id="rId1" display="https://www.google.com/finance/quote/USD-MXN?hl=es" xr:uid="{ACC7F38D-3ADE-42F2-B5EE-822A7D409A92}"/>
    <hyperlink ref="J3" r:id="rId2" display="https://www.google.com/finance/quote/USD-EUR?hl=es" xr:uid="{030B4695-8232-4026-B3A6-A85637640607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B335-4DDB-4E8F-BA7A-2AE307E1803B}">
  <dimension ref="A1:J27"/>
  <sheetViews>
    <sheetView workbookViewId="0">
      <selection activeCell="I11" sqref="I11"/>
    </sheetView>
  </sheetViews>
  <sheetFormatPr baseColWidth="10" defaultColWidth="11.5" defaultRowHeight="15" x14ac:dyDescent="0.2"/>
  <cols>
    <col min="1" max="16384" width="11.5" style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0" t="s">
        <v>10</v>
      </c>
    </row>
    <row r="2" spans="1:10" x14ac:dyDescent="0.2">
      <c r="A2" s="1" t="s">
        <v>11</v>
      </c>
      <c r="B2" s="8">
        <v>3360</v>
      </c>
      <c r="C2" s="8">
        <v>3139</v>
      </c>
      <c r="D2" s="8">
        <v>3353</v>
      </c>
      <c r="E2" s="8">
        <v>3139</v>
      </c>
      <c r="F2" s="10" t="s">
        <v>12</v>
      </c>
      <c r="I2" s="1" t="s">
        <v>1</v>
      </c>
      <c r="J2" s="5">
        <f>+AVERAGE(B2:B25)/100000</f>
        <v>3.1829166666666665E-2</v>
      </c>
    </row>
    <row r="3" spans="1:10" x14ac:dyDescent="0.2">
      <c r="A3" s="1" t="s">
        <v>13</v>
      </c>
      <c r="B3" s="8">
        <v>3064</v>
      </c>
      <c r="C3" s="8">
        <v>3230</v>
      </c>
      <c r="D3" s="8">
        <v>3252</v>
      </c>
      <c r="E3" s="8">
        <v>3062</v>
      </c>
      <c r="F3" s="10" t="s">
        <v>14</v>
      </c>
      <c r="I3" s="1" t="s">
        <v>2</v>
      </c>
      <c r="J3" s="5">
        <f>+MEDIAN(B2:B25)/100000</f>
        <v>3.1535000000000001E-2</v>
      </c>
    </row>
    <row r="4" spans="1:10" x14ac:dyDescent="0.2">
      <c r="A4" s="1" t="s">
        <v>15</v>
      </c>
      <c r="B4" s="8">
        <v>3213</v>
      </c>
      <c r="C4" s="8">
        <v>3335</v>
      </c>
      <c r="D4" s="8">
        <v>3335</v>
      </c>
      <c r="E4" s="8">
        <v>3199</v>
      </c>
      <c r="F4" s="10" t="s">
        <v>16</v>
      </c>
    </row>
    <row r="5" spans="1:10" x14ac:dyDescent="0.2">
      <c r="A5" s="1" t="s">
        <v>17</v>
      </c>
      <c r="B5" s="8">
        <v>3292</v>
      </c>
      <c r="C5" s="8">
        <v>3226</v>
      </c>
      <c r="D5" s="8">
        <v>3339</v>
      </c>
      <c r="E5" s="8">
        <v>3218</v>
      </c>
      <c r="F5" s="10" t="s">
        <v>18</v>
      </c>
    </row>
    <row r="6" spans="1:10" x14ac:dyDescent="0.2">
      <c r="A6" s="1" t="s">
        <v>19</v>
      </c>
      <c r="B6" s="8">
        <v>3166</v>
      </c>
      <c r="C6" s="8">
        <v>3165</v>
      </c>
      <c r="D6" s="8">
        <v>3224</v>
      </c>
      <c r="E6" s="8">
        <v>3139</v>
      </c>
      <c r="F6" s="10" t="s">
        <v>20</v>
      </c>
    </row>
    <row r="7" spans="1:10" x14ac:dyDescent="0.2">
      <c r="A7" s="1" t="s">
        <v>21</v>
      </c>
      <c r="B7" s="8">
        <v>3141</v>
      </c>
      <c r="C7" s="8">
        <v>3248</v>
      </c>
      <c r="D7" s="8">
        <v>3257</v>
      </c>
      <c r="E7" s="8">
        <v>3082</v>
      </c>
      <c r="F7" s="10" t="s">
        <v>22</v>
      </c>
    </row>
    <row r="8" spans="1:10" x14ac:dyDescent="0.2">
      <c r="A8" s="1" t="s">
        <v>23</v>
      </c>
      <c r="B8" s="8">
        <v>3258</v>
      </c>
      <c r="C8" s="8">
        <v>3350</v>
      </c>
      <c r="D8" s="8">
        <v>3402</v>
      </c>
      <c r="E8" s="8">
        <v>3224</v>
      </c>
      <c r="F8" s="10" t="s">
        <v>24</v>
      </c>
    </row>
    <row r="9" spans="1:10" x14ac:dyDescent="0.2">
      <c r="A9" s="1" t="s">
        <v>25</v>
      </c>
      <c r="B9" s="8">
        <v>3330</v>
      </c>
      <c r="C9" s="8">
        <v>3262</v>
      </c>
      <c r="D9" s="8">
        <v>3364</v>
      </c>
      <c r="E9" s="8">
        <v>3200</v>
      </c>
      <c r="F9" s="10" t="s">
        <v>26</v>
      </c>
    </row>
    <row r="10" spans="1:10" x14ac:dyDescent="0.2">
      <c r="A10" s="1" t="s">
        <v>27</v>
      </c>
      <c r="B10" s="8">
        <v>3270</v>
      </c>
      <c r="C10" s="8">
        <v>3215</v>
      </c>
      <c r="D10" s="8">
        <v>3341</v>
      </c>
      <c r="E10" s="8">
        <v>3197</v>
      </c>
      <c r="F10" s="10" t="s">
        <v>28</v>
      </c>
    </row>
    <row r="11" spans="1:10" x14ac:dyDescent="0.2">
      <c r="A11" s="1" t="s">
        <v>29</v>
      </c>
      <c r="B11" s="8">
        <v>3246</v>
      </c>
      <c r="C11" s="8">
        <v>3114</v>
      </c>
      <c r="D11" s="8">
        <v>3246</v>
      </c>
      <c r="E11" s="8">
        <v>3080</v>
      </c>
      <c r="F11" s="10" t="s">
        <v>30</v>
      </c>
    </row>
    <row r="12" spans="1:10" x14ac:dyDescent="0.2">
      <c r="A12" s="1" t="s">
        <v>31</v>
      </c>
      <c r="B12" s="8">
        <v>3097</v>
      </c>
      <c r="C12" s="8">
        <v>3181</v>
      </c>
      <c r="D12" s="8">
        <v>3318</v>
      </c>
      <c r="E12" s="8">
        <v>3096</v>
      </c>
      <c r="F12" s="10" t="s">
        <v>32</v>
      </c>
    </row>
    <row r="13" spans="1:10" x14ac:dyDescent="0.2">
      <c r="A13" s="1" t="s">
        <v>33</v>
      </c>
      <c r="B13" s="8">
        <v>3112</v>
      </c>
      <c r="C13" s="8">
        <v>3311</v>
      </c>
      <c r="D13" s="8">
        <v>3349</v>
      </c>
      <c r="E13" s="8">
        <v>3089</v>
      </c>
      <c r="F13" s="10" t="s">
        <v>34</v>
      </c>
    </row>
    <row r="14" spans="1:10" x14ac:dyDescent="0.2">
      <c r="A14" s="1" t="s">
        <v>35</v>
      </c>
      <c r="B14" s="8">
        <v>3364</v>
      </c>
      <c r="C14" s="8">
        <v>3152</v>
      </c>
      <c r="D14" s="8">
        <v>3524</v>
      </c>
      <c r="E14" s="8">
        <v>3152</v>
      </c>
      <c r="F14" s="10" t="s">
        <v>36</v>
      </c>
    </row>
    <row r="15" spans="1:10" x14ac:dyDescent="0.2">
      <c r="A15" s="1" t="s">
        <v>37</v>
      </c>
      <c r="B15" s="8">
        <v>3086</v>
      </c>
      <c r="C15" s="8">
        <v>3057</v>
      </c>
      <c r="D15" s="8">
        <v>3216</v>
      </c>
      <c r="E15" s="8">
        <v>3030</v>
      </c>
      <c r="F15" s="10" t="s">
        <v>38</v>
      </c>
    </row>
    <row r="16" spans="1:10" x14ac:dyDescent="0.2">
      <c r="A16" s="1" t="s">
        <v>39</v>
      </c>
      <c r="B16" s="8">
        <v>3113</v>
      </c>
      <c r="C16" s="8">
        <v>3056</v>
      </c>
      <c r="D16" s="8">
        <v>3323</v>
      </c>
      <c r="E16" s="8">
        <v>3056</v>
      </c>
      <c r="F16" s="10" t="s">
        <v>40</v>
      </c>
    </row>
    <row r="17" spans="1:6" x14ac:dyDescent="0.2">
      <c r="A17" s="1" t="s">
        <v>41</v>
      </c>
      <c r="B17" s="8">
        <v>3062</v>
      </c>
      <c r="C17" s="8">
        <v>2783</v>
      </c>
      <c r="D17" s="8">
        <v>3103</v>
      </c>
      <c r="E17" s="8">
        <v>2729</v>
      </c>
      <c r="F17" s="10" t="s">
        <v>42</v>
      </c>
    </row>
    <row r="18" spans="1:6" x14ac:dyDescent="0.2">
      <c r="A18" s="1" t="s">
        <v>43</v>
      </c>
      <c r="B18" s="8">
        <v>2787</v>
      </c>
      <c r="C18" s="8">
        <v>3105</v>
      </c>
      <c r="D18" s="8">
        <v>3248</v>
      </c>
      <c r="E18" s="8">
        <v>2789</v>
      </c>
      <c r="F18" s="10" t="s">
        <v>44</v>
      </c>
    </row>
    <row r="19" spans="1:6" x14ac:dyDescent="0.2">
      <c r="A19" s="1" t="s">
        <v>45</v>
      </c>
      <c r="B19" s="8">
        <v>3102</v>
      </c>
      <c r="C19" s="8">
        <v>2913</v>
      </c>
      <c r="D19" s="8">
        <v>3154</v>
      </c>
      <c r="E19" s="8">
        <v>2802</v>
      </c>
      <c r="F19" s="10" t="s">
        <v>46</v>
      </c>
    </row>
    <row r="20" spans="1:6" x14ac:dyDescent="0.2">
      <c r="A20" s="1" t="s">
        <v>47</v>
      </c>
      <c r="B20" s="8">
        <v>2933</v>
      </c>
      <c r="C20" s="8">
        <v>3162</v>
      </c>
      <c r="D20" s="8">
        <v>3168</v>
      </c>
      <c r="E20" s="8">
        <v>2885</v>
      </c>
      <c r="F20" s="10" t="s">
        <v>48</v>
      </c>
    </row>
    <row r="21" spans="1:6" x14ac:dyDescent="0.2">
      <c r="A21" s="1" t="s">
        <v>49</v>
      </c>
      <c r="B21" s="8">
        <v>3123</v>
      </c>
      <c r="C21" s="8">
        <v>3106</v>
      </c>
      <c r="D21" s="8">
        <v>3150</v>
      </c>
      <c r="E21" s="8">
        <v>2992</v>
      </c>
      <c r="F21" s="10" t="s">
        <v>50</v>
      </c>
    </row>
    <row r="22" spans="1:6" x14ac:dyDescent="0.2">
      <c r="A22" s="1" t="s">
        <v>51</v>
      </c>
      <c r="B22" s="8">
        <v>3117</v>
      </c>
      <c r="C22" s="8">
        <v>3400</v>
      </c>
      <c r="D22" s="8">
        <v>3486</v>
      </c>
      <c r="E22" s="8">
        <v>3113</v>
      </c>
      <c r="F22" s="10" t="s">
        <v>52</v>
      </c>
    </row>
    <row r="23" spans="1:6" x14ac:dyDescent="0.2">
      <c r="A23" s="1" t="s">
        <v>53</v>
      </c>
      <c r="B23" s="8">
        <v>3411</v>
      </c>
      <c r="C23" s="8">
        <v>3377</v>
      </c>
      <c r="D23" s="8">
        <v>3541</v>
      </c>
      <c r="E23" s="8">
        <v>3226</v>
      </c>
      <c r="F23" s="10" t="s">
        <v>54</v>
      </c>
    </row>
    <row r="24" spans="1:6" x14ac:dyDescent="0.2">
      <c r="A24" s="1" t="s">
        <v>55</v>
      </c>
      <c r="B24" s="8">
        <v>3392</v>
      </c>
      <c r="C24" s="8">
        <v>3317</v>
      </c>
      <c r="D24" s="8">
        <v>3437</v>
      </c>
      <c r="E24" s="8">
        <v>3173</v>
      </c>
      <c r="F24" s="10" t="s">
        <v>56</v>
      </c>
    </row>
    <row r="25" spans="1:6" x14ac:dyDescent="0.2">
      <c r="A25" s="1" t="s">
        <v>57</v>
      </c>
      <c r="B25" s="8">
        <v>3351</v>
      </c>
      <c r="C25" s="8">
        <v>3221</v>
      </c>
      <c r="D25" s="8">
        <v>3454</v>
      </c>
      <c r="E25" s="8">
        <v>3146</v>
      </c>
      <c r="F25" s="10" t="s">
        <v>58</v>
      </c>
    </row>
    <row r="27" spans="1:6" x14ac:dyDescent="0.2">
      <c r="A27" s="9" t="s">
        <v>60</v>
      </c>
    </row>
  </sheetData>
  <hyperlinks>
    <hyperlink ref="A27" r:id="rId1" display="https://es.investing.com/rates-bonds/spain-10-year-bond-yield?utm_source=chatgpt.com" xr:uid="{49AB9C04-479D-429B-841F-C1FF41F78BB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DD1F-A4DC-49D5-B6F4-63F61BD29B24}">
  <dimension ref="A1:E125"/>
  <sheetViews>
    <sheetView workbookViewId="0">
      <selection activeCell="I17" sqref="I17"/>
    </sheetView>
  </sheetViews>
  <sheetFormatPr baseColWidth="10" defaultColWidth="11.5" defaultRowHeight="15" x14ac:dyDescent="0.2"/>
  <cols>
    <col min="1" max="16384" width="11.5" style="1"/>
  </cols>
  <sheetData>
    <row r="1" spans="1:5" ht="16" x14ac:dyDescent="0.2">
      <c r="A1" s="27" t="s">
        <v>104</v>
      </c>
    </row>
    <row r="2" spans="1:5" x14ac:dyDescent="0.2">
      <c r="A2" s="1" t="s">
        <v>105</v>
      </c>
    </row>
    <row r="3" spans="1:5" x14ac:dyDescent="0.2">
      <c r="A3" s="1" t="s">
        <v>106</v>
      </c>
    </row>
    <row r="5" spans="1:5" x14ac:dyDescent="0.2">
      <c r="A5" s="28" t="s">
        <v>107</v>
      </c>
      <c r="B5" s="1">
        <v>2.61</v>
      </c>
      <c r="D5" s="1" t="s">
        <v>1</v>
      </c>
      <c r="E5" s="5">
        <f>+AVERAGE(B5:B125)/100</f>
        <v>4.8372727272727276E-2</v>
      </c>
    </row>
    <row r="6" spans="1:5" x14ac:dyDescent="0.2">
      <c r="A6" s="28" t="s">
        <v>108</v>
      </c>
      <c r="B6" s="1">
        <v>2.87</v>
      </c>
      <c r="D6" s="1" t="s">
        <v>2</v>
      </c>
      <c r="E6" s="5">
        <f>+MEDIAN(B5:B125)/100</f>
        <v>4.58E-2</v>
      </c>
    </row>
    <row r="7" spans="1:5" x14ac:dyDescent="0.2">
      <c r="A7" s="28" t="s">
        <v>109</v>
      </c>
      <c r="B7" s="1">
        <v>2.6</v>
      </c>
    </row>
    <row r="8" spans="1:5" x14ac:dyDescent="0.2">
      <c r="A8" s="28" t="s">
        <v>110</v>
      </c>
      <c r="B8" s="1">
        <v>2.54</v>
      </c>
    </row>
    <row r="9" spans="1:5" x14ac:dyDescent="0.2">
      <c r="A9" s="28" t="s">
        <v>111</v>
      </c>
      <c r="B9" s="1">
        <v>2.6</v>
      </c>
    </row>
    <row r="10" spans="1:5" x14ac:dyDescent="0.2">
      <c r="A10" s="28" t="s">
        <v>112</v>
      </c>
      <c r="B10" s="1">
        <v>2.54</v>
      </c>
    </row>
    <row r="11" spans="1:5" x14ac:dyDescent="0.2">
      <c r="A11" s="28" t="s">
        <v>113</v>
      </c>
      <c r="B11" s="1">
        <v>2.65</v>
      </c>
    </row>
    <row r="12" spans="1:5" x14ac:dyDescent="0.2">
      <c r="A12" s="28" t="s">
        <v>114</v>
      </c>
      <c r="B12" s="1">
        <v>2.73</v>
      </c>
    </row>
    <row r="13" spans="1:5" x14ac:dyDescent="0.2">
      <c r="A13" s="28" t="s">
        <v>115</v>
      </c>
      <c r="B13" s="1">
        <v>2.97</v>
      </c>
    </row>
    <row r="14" spans="1:5" x14ac:dyDescent="0.2">
      <c r="A14" s="28" t="s">
        <v>116</v>
      </c>
      <c r="B14" s="1">
        <v>3.06</v>
      </c>
    </row>
    <row r="15" spans="1:5" x14ac:dyDescent="0.2">
      <c r="A15" s="28" t="s">
        <v>117</v>
      </c>
      <c r="B15" s="1">
        <v>3.31</v>
      </c>
    </row>
    <row r="16" spans="1:5" x14ac:dyDescent="0.2">
      <c r="A16" s="28" t="s">
        <v>118</v>
      </c>
      <c r="B16" s="1">
        <v>3.36</v>
      </c>
    </row>
    <row r="17" spans="1:2" x14ac:dyDescent="0.2">
      <c r="A17" s="28" t="s">
        <v>119</v>
      </c>
      <c r="B17" s="1">
        <v>4.72</v>
      </c>
    </row>
    <row r="18" spans="1:2" x14ac:dyDescent="0.2">
      <c r="A18" s="28" t="s">
        <v>120</v>
      </c>
      <c r="B18" s="1">
        <v>4.8600000000000003</v>
      </c>
    </row>
    <row r="19" spans="1:2" x14ac:dyDescent="0.2">
      <c r="A19" s="28" t="s">
        <v>121</v>
      </c>
      <c r="B19" s="1">
        <v>5.35</v>
      </c>
    </row>
    <row r="20" spans="1:2" x14ac:dyDescent="0.2">
      <c r="A20" s="28" t="s">
        <v>122</v>
      </c>
      <c r="B20" s="1">
        <v>5.82</v>
      </c>
    </row>
    <row r="21" spans="1:2" x14ac:dyDescent="0.2">
      <c r="A21" s="28" t="s">
        <v>123</v>
      </c>
      <c r="B21" s="1">
        <v>6.16</v>
      </c>
    </row>
    <row r="22" spans="1:2" x14ac:dyDescent="0.2">
      <c r="A22" s="28" t="s">
        <v>124</v>
      </c>
      <c r="B22" s="1">
        <v>6.31</v>
      </c>
    </row>
    <row r="23" spans="1:2" x14ac:dyDescent="0.2">
      <c r="A23" s="28" t="s">
        <v>125</v>
      </c>
      <c r="B23" s="1">
        <v>6.44</v>
      </c>
    </row>
    <row r="24" spans="1:2" x14ac:dyDescent="0.2">
      <c r="A24" s="28" t="s">
        <v>126</v>
      </c>
      <c r="B24" s="1">
        <v>6.66</v>
      </c>
    </row>
    <row r="25" spans="1:2" x14ac:dyDescent="0.2">
      <c r="A25" s="28" t="s">
        <v>127</v>
      </c>
      <c r="B25" s="1">
        <v>6.35</v>
      </c>
    </row>
    <row r="26" spans="1:2" x14ac:dyDescent="0.2">
      <c r="A26" s="28" t="s">
        <v>128</v>
      </c>
      <c r="B26" s="1">
        <v>6.37</v>
      </c>
    </row>
    <row r="27" spans="1:2" x14ac:dyDescent="0.2">
      <c r="A27" s="28" t="s">
        <v>129</v>
      </c>
      <c r="B27" s="1">
        <v>6.63</v>
      </c>
    </row>
    <row r="28" spans="1:2" x14ac:dyDescent="0.2">
      <c r="A28" s="28" t="s">
        <v>130</v>
      </c>
      <c r="B28" s="1">
        <v>6.77</v>
      </c>
    </row>
    <row r="29" spans="1:2" x14ac:dyDescent="0.2">
      <c r="A29" s="28" t="s">
        <v>131</v>
      </c>
      <c r="B29" s="1">
        <v>5.55</v>
      </c>
    </row>
    <row r="30" spans="1:2" x14ac:dyDescent="0.2">
      <c r="A30" s="28" t="s">
        <v>132</v>
      </c>
      <c r="B30" s="1">
        <v>5.34</v>
      </c>
    </row>
    <row r="31" spans="1:2" x14ac:dyDescent="0.2">
      <c r="A31" s="28" t="s">
        <v>133</v>
      </c>
      <c r="B31" s="1">
        <v>5.04</v>
      </c>
    </row>
    <row r="32" spans="1:2" x14ac:dyDescent="0.2">
      <c r="A32" s="28" t="s">
        <v>134</v>
      </c>
      <c r="B32" s="1">
        <v>4.55</v>
      </c>
    </row>
    <row r="33" spans="1:2" x14ac:dyDescent="0.2">
      <c r="A33" s="28" t="s">
        <v>135</v>
      </c>
      <c r="B33" s="1">
        <v>4.51</v>
      </c>
    </row>
    <row r="34" spans="1:2" x14ac:dyDescent="0.2">
      <c r="A34" s="28" t="s">
        <v>136</v>
      </c>
      <c r="B34" s="1">
        <v>4.6500000000000004</v>
      </c>
    </row>
    <row r="35" spans="1:2" x14ac:dyDescent="0.2">
      <c r="A35" s="28" t="s">
        <v>137</v>
      </c>
      <c r="B35" s="1">
        <v>4.8099999999999996</v>
      </c>
    </row>
    <row r="36" spans="1:2" x14ac:dyDescent="0.2">
      <c r="A36" s="28" t="s">
        <v>138</v>
      </c>
      <c r="B36" s="1">
        <v>4.9000000000000004</v>
      </c>
    </row>
    <row r="37" spans="1:2" x14ac:dyDescent="0.2">
      <c r="A37" s="28" t="s">
        <v>139</v>
      </c>
      <c r="B37" s="1">
        <v>5.0199999999999996</v>
      </c>
    </row>
    <row r="38" spans="1:2" x14ac:dyDescent="0.2">
      <c r="A38" s="28" t="s">
        <v>140</v>
      </c>
      <c r="B38" s="1">
        <v>4.9000000000000004</v>
      </c>
    </row>
    <row r="39" spans="1:2" x14ac:dyDescent="0.2">
      <c r="A39" s="28" t="s">
        <v>141</v>
      </c>
      <c r="B39" s="1">
        <v>4.72</v>
      </c>
    </row>
    <row r="40" spans="1:2" x14ac:dyDescent="0.2">
      <c r="A40" s="28" t="s">
        <v>142</v>
      </c>
      <c r="B40" s="1">
        <v>4.83</v>
      </c>
    </row>
    <row r="41" spans="1:2" x14ac:dyDescent="0.2">
      <c r="A41" s="28" t="s">
        <v>143</v>
      </c>
      <c r="B41" s="1">
        <v>4.37</v>
      </c>
    </row>
    <row r="42" spans="1:2" x14ac:dyDescent="0.2">
      <c r="A42" s="28" t="s">
        <v>144</v>
      </c>
      <c r="B42" s="1">
        <v>3.94</v>
      </c>
    </row>
    <row r="43" spans="1:2" x14ac:dyDescent="0.2">
      <c r="A43" s="28" t="s">
        <v>145</v>
      </c>
      <c r="B43" s="1">
        <v>4</v>
      </c>
    </row>
    <row r="44" spans="1:2" x14ac:dyDescent="0.2">
      <c r="A44" s="28" t="s">
        <v>146</v>
      </c>
      <c r="B44" s="1">
        <v>4.41</v>
      </c>
    </row>
    <row r="45" spans="1:2" x14ac:dyDescent="0.2">
      <c r="A45" s="28" t="s">
        <v>147</v>
      </c>
      <c r="B45" s="1">
        <v>4.28</v>
      </c>
    </row>
    <row r="46" spans="1:2" x14ac:dyDescent="0.2">
      <c r="A46" s="28" t="s">
        <v>148</v>
      </c>
      <c r="B46" s="1">
        <v>3.95</v>
      </c>
    </row>
    <row r="47" spans="1:2" x14ac:dyDescent="0.2">
      <c r="A47" s="28" t="s">
        <v>149</v>
      </c>
      <c r="B47" s="1">
        <v>3.78</v>
      </c>
    </row>
    <row r="48" spans="1:2" x14ac:dyDescent="0.2">
      <c r="A48" s="28" t="s">
        <v>150</v>
      </c>
      <c r="B48" s="1">
        <v>3.16</v>
      </c>
    </row>
    <row r="49" spans="1:2" x14ac:dyDescent="0.2">
      <c r="A49" s="28" t="s">
        <v>151</v>
      </c>
      <c r="B49" s="1">
        <v>3</v>
      </c>
    </row>
    <row r="50" spans="1:2" x14ac:dyDescent="0.2">
      <c r="A50" s="28" t="s">
        <v>152</v>
      </c>
      <c r="B50" s="1">
        <v>3.02</v>
      </c>
    </row>
    <row r="51" spans="1:2" x14ac:dyDescent="0.2">
      <c r="A51" s="28" t="s">
        <v>153</v>
      </c>
      <c r="B51" s="1">
        <v>2.97</v>
      </c>
    </row>
    <row r="52" spans="1:2" x14ac:dyDescent="0.2">
      <c r="A52" s="28" t="s">
        <v>154</v>
      </c>
      <c r="B52" s="1">
        <v>2.83</v>
      </c>
    </row>
    <row r="53" spans="1:2" x14ac:dyDescent="0.2">
      <c r="A53" s="28" t="s">
        <v>155</v>
      </c>
      <c r="B53" s="1">
        <v>3.24</v>
      </c>
    </row>
    <row r="54" spans="1:2" x14ac:dyDescent="0.2">
      <c r="A54" s="28" t="s">
        <v>156</v>
      </c>
      <c r="B54" s="1">
        <v>3.7</v>
      </c>
    </row>
    <row r="55" spans="1:2" x14ac:dyDescent="0.2">
      <c r="A55" s="28" t="s">
        <v>157</v>
      </c>
      <c r="B55" s="1">
        <v>3.25</v>
      </c>
    </row>
    <row r="56" spans="1:2" x14ac:dyDescent="0.2">
      <c r="A56" s="28" t="s">
        <v>158</v>
      </c>
      <c r="B56" s="1">
        <v>2.15</v>
      </c>
    </row>
    <row r="57" spans="1:2" x14ac:dyDescent="0.2">
      <c r="A57" s="28" t="s">
        <v>159</v>
      </c>
      <c r="B57" s="1">
        <v>2.84</v>
      </c>
    </row>
    <row r="58" spans="1:2" x14ac:dyDescent="0.2">
      <c r="A58" s="28" t="s">
        <v>160</v>
      </c>
      <c r="B58" s="1">
        <v>3.33</v>
      </c>
    </row>
    <row r="59" spans="1:2" x14ac:dyDescent="0.2">
      <c r="A59" s="28" t="s">
        <v>161</v>
      </c>
      <c r="B59" s="1">
        <v>3.62</v>
      </c>
    </row>
    <row r="60" spans="1:2" x14ac:dyDescent="0.2">
      <c r="A60" s="28" t="s">
        <v>162</v>
      </c>
      <c r="B60" s="1">
        <v>4.05</v>
      </c>
    </row>
    <row r="61" spans="1:2" x14ac:dyDescent="0.2">
      <c r="A61" s="28" t="s">
        <v>163</v>
      </c>
      <c r="B61" s="1">
        <v>4.01</v>
      </c>
    </row>
    <row r="62" spans="1:2" x14ac:dyDescent="0.2">
      <c r="A62" s="28" t="s">
        <v>164</v>
      </c>
      <c r="B62" s="1">
        <v>4.09</v>
      </c>
    </row>
    <row r="63" spans="1:2" x14ac:dyDescent="0.2">
      <c r="A63" s="28" t="s">
        <v>165</v>
      </c>
      <c r="B63" s="1">
        <v>3.33</v>
      </c>
    </row>
    <row r="64" spans="1:2" x14ac:dyDescent="0.2">
      <c r="A64" s="28" t="s">
        <v>166</v>
      </c>
      <c r="B64" s="1">
        <v>3.15</v>
      </c>
    </row>
    <row r="65" spans="1:2" x14ac:dyDescent="0.2">
      <c r="A65" s="28" t="s">
        <v>167</v>
      </c>
      <c r="B65" s="1">
        <v>3.54</v>
      </c>
    </row>
    <row r="66" spans="1:2" x14ac:dyDescent="0.2">
      <c r="A66" s="28" t="s">
        <v>168</v>
      </c>
      <c r="B66" s="1">
        <v>3.76</v>
      </c>
    </row>
    <row r="67" spans="1:2" x14ac:dyDescent="0.2">
      <c r="A67" s="28" t="s">
        <v>169</v>
      </c>
      <c r="B67" s="1">
        <v>4.67</v>
      </c>
    </row>
    <row r="68" spans="1:2" x14ac:dyDescent="0.2">
      <c r="A68" s="28" t="s">
        <v>170</v>
      </c>
      <c r="B68" s="1">
        <v>6.08</v>
      </c>
    </row>
    <row r="69" spans="1:2" x14ac:dyDescent="0.2">
      <c r="A69" s="28" t="s">
        <v>171</v>
      </c>
      <c r="B69" s="1">
        <v>5.89</v>
      </c>
    </row>
    <row r="70" spans="1:2" x14ac:dyDescent="0.2">
      <c r="A70" s="28" t="s">
        <v>172</v>
      </c>
      <c r="B70" s="1">
        <v>5.88</v>
      </c>
    </row>
    <row r="71" spans="1:2" x14ac:dyDescent="0.2">
      <c r="A71" s="28" t="s">
        <v>173</v>
      </c>
      <c r="B71" s="1">
        <v>5.81</v>
      </c>
    </row>
    <row r="72" spans="1:2" x14ac:dyDescent="0.2">
      <c r="A72" s="28" t="s">
        <v>174</v>
      </c>
      <c r="B72" s="1">
        <v>5.59</v>
      </c>
    </row>
    <row r="73" spans="1:2" x14ac:dyDescent="0.2">
      <c r="A73" s="28" t="s">
        <v>175</v>
      </c>
      <c r="B73" s="1">
        <v>6</v>
      </c>
    </row>
    <row r="74" spans="1:2" x14ac:dyDescent="0.2">
      <c r="A74" s="28" t="s">
        <v>176</v>
      </c>
      <c r="B74" s="1">
        <v>6.24</v>
      </c>
    </row>
    <row r="75" spans="1:2" x14ac:dyDescent="0.2">
      <c r="A75" s="28" t="s">
        <v>177</v>
      </c>
      <c r="B75" s="1">
        <v>7.37</v>
      </c>
    </row>
    <row r="76" spans="1:2" x14ac:dyDescent="0.2">
      <c r="A76" s="28" t="s">
        <v>178</v>
      </c>
      <c r="B76" s="1">
        <v>7.36</v>
      </c>
    </row>
    <row r="77" spans="1:2" x14ac:dyDescent="0.2">
      <c r="A77" s="28" t="s">
        <v>179</v>
      </c>
      <c r="B77" s="1">
        <v>7.07</v>
      </c>
    </row>
    <row r="78" spans="1:2" x14ac:dyDescent="0.2">
      <c r="A78" s="28" t="s">
        <v>180</v>
      </c>
      <c r="B78" s="1">
        <v>7.28</v>
      </c>
    </row>
    <row r="79" spans="1:2" x14ac:dyDescent="0.2">
      <c r="A79" s="28" t="s">
        <v>181</v>
      </c>
      <c r="B79" s="1">
        <v>7.45</v>
      </c>
    </row>
    <row r="80" spans="1:2" x14ac:dyDescent="0.2">
      <c r="A80" s="28" t="s">
        <v>182</v>
      </c>
      <c r="B80" s="1">
        <v>7.68</v>
      </c>
    </row>
    <row r="81" spans="1:2" x14ac:dyDescent="0.2">
      <c r="A81" s="28" t="s">
        <v>183</v>
      </c>
      <c r="B81" s="1">
        <v>7.65</v>
      </c>
    </row>
    <row r="82" spans="1:2" x14ac:dyDescent="0.2">
      <c r="A82" s="28" t="s">
        <v>184</v>
      </c>
      <c r="B82" s="1">
        <v>7.99</v>
      </c>
    </row>
    <row r="83" spans="1:2" x14ac:dyDescent="0.2">
      <c r="A83" s="28" t="s">
        <v>185</v>
      </c>
      <c r="B83" s="1">
        <v>8.15</v>
      </c>
    </row>
    <row r="84" spans="1:2" x14ac:dyDescent="0.2">
      <c r="A84" s="28" t="s">
        <v>186</v>
      </c>
      <c r="B84" s="1">
        <v>8.6999999999999993</v>
      </c>
    </row>
    <row r="85" spans="1:2" x14ac:dyDescent="0.2">
      <c r="A85" s="28" t="s">
        <v>187</v>
      </c>
      <c r="B85" s="1">
        <v>8.6999999999999993</v>
      </c>
    </row>
    <row r="86" spans="1:2" x14ac:dyDescent="0.2">
      <c r="A86" s="28" t="s">
        <v>188</v>
      </c>
      <c r="B86" s="1">
        <v>8.41</v>
      </c>
    </row>
    <row r="87" spans="1:2" x14ac:dyDescent="0.2">
      <c r="A87" s="28" t="s">
        <v>189</v>
      </c>
      <c r="B87" s="1">
        <v>7.8</v>
      </c>
    </row>
    <row r="88" spans="1:2" x14ac:dyDescent="0.2">
      <c r="A88" s="28" t="s">
        <v>190</v>
      </c>
      <c r="B88" s="1">
        <v>7.82</v>
      </c>
    </row>
    <row r="89" spans="1:2" x14ac:dyDescent="0.2">
      <c r="A89" s="28" t="s">
        <v>191</v>
      </c>
      <c r="B89" s="1">
        <v>7.91</v>
      </c>
    </row>
    <row r="90" spans="1:2" x14ac:dyDescent="0.2">
      <c r="A90" s="28" t="s">
        <v>192</v>
      </c>
      <c r="B90" s="1">
        <v>7.62</v>
      </c>
    </row>
    <row r="91" spans="1:2" x14ac:dyDescent="0.2">
      <c r="A91" s="28" t="s">
        <v>193</v>
      </c>
      <c r="B91" s="1">
        <v>6.85</v>
      </c>
    </row>
    <row r="92" spans="1:2" x14ac:dyDescent="0.2">
      <c r="A92" s="28" t="s">
        <v>194</v>
      </c>
      <c r="B92" s="1">
        <v>6.25</v>
      </c>
    </row>
    <row r="93" spans="1:2" x14ac:dyDescent="0.2">
      <c r="A93" s="28" t="s">
        <v>195</v>
      </c>
      <c r="B93" s="1">
        <v>5.84</v>
      </c>
    </row>
    <row r="94" spans="1:2" x14ac:dyDescent="0.2">
      <c r="A94" s="28" t="s">
        <v>196</v>
      </c>
      <c r="B94" s="1">
        <v>5.0599999999999996</v>
      </c>
    </row>
    <row r="95" spans="1:2" x14ac:dyDescent="0.2">
      <c r="A95" s="28" t="s">
        <v>197</v>
      </c>
      <c r="B95" s="1">
        <v>4.79</v>
      </c>
    </row>
    <row r="96" spans="1:2" x14ac:dyDescent="0.2">
      <c r="A96" s="28" t="s">
        <v>198</v>
      </c>
      <c r="B96" s="1">
        <v>4.6399999999999997</v>
      </c>
    </row>
    <row r="97" spans="1:2" x14ac:dyDescent="0.2">
      <c r="A97" s="28" t="s">
        <v>199</v>
      </c>
      <c r="B97" s="1">
        <v>4.45</v>
      </c>
    </row>
    <row r="98" spans="1:2" x14ac:dyDescent="0.2">
      <c r="A98" s="28" t="s">
        <v>200</v>
      </c>
      <c r="B98" s="1">
        <v>4.26</v>
      </c>
    </row>
    <row r="99" spans="1:2" x14ac:dyDescent="0.2">
      <c r="A99" s="28" t="s">
        <v>201</v>
      </c>
      <c r="B99" s="1">
        <v>4.32</v>
      </c>
    </row>
    <row r="100" spans="1:2" x14ac:dyDescent="0.2">
      <c r="A100" s="28" t="s">
        <v>202</v>
      </c>
      <c r="B100" s="1">
        <v>4.66</v>
      </c>
    </row>
    <row r="101" spans="1:2" x14ac:dyDescent="0.2">
      <c r="A101" s="28" t="s">
        <v>203</v>
      </c>
      <c r="B101" s="1">
        <v>4.88</v>
      </c>
    </row>
    <row r="102" spans="1:2" x14ac:dyDescent="0.2">
      <c r="A102" s="28" t="s">
        <v>204</v>
      </c>
      <c r="B102" s="1">
        <v>4.4000000000000004</v>
      </c>
    </row>
    <row r="103" spans="1:2" x14ac:dyDescent="0.2">
      <c r="A103" s="28" t="s">
        <v>205</v>
      </c>
      <c r="B103" s="1">
        <v>4.42</v>
      </c>
    </row>
    <row r="104" spans="1:2" x14ac:dyDescent="0.2">
      <c r="A104" s="28" t="s">
        <v>206</v>
      </c>
      <c r="B104" s="1">
        <v>4.6500000000000004</v>
      </c>
    </row>
    <row r="105" spans="1:2" x14ac:dyDescent="0.2">
      <c r="A105" s="28" t="s">
        <v>207</v>
      </c>
      <c r="B105" s="1">
        <v>4.6900000000000004</v>
      </c>
    </row>
    <row r="106" spans="1:2" x14ac:dyDescent="0.2">
      <c r="A106" s="28" t="s">
        <v>208</v>
      </c>
      <c r="B106" s="1">
        <v>4.9800000000000004</v>
      </c>
    </row>
    <row r="107" spans="1:2" x14ac:dyDescent="0.2">
      <c r="A107" s="28" t="s">
        <v>209</v>
      </c>
      <c r="B107" s="1">
        <v>5.57</v>
      </c>
    </row>
    <row r="108" spans="1:2" x14ac:dyDescent="0.2">
      <c r="A108" s="28" t="s">
        <v>210</v>
      </c>
      <c r="B108" s="1">
        <v>4.99</v>
      </c>
    </row>
    <row r="109" spans="1:2" x14ac:dyDescent="0.2">
      <c r="A109" s="28" t="s">
        <v>211</v>
      </c>
      <c r="B109" s="1">
        <v>4.58</v>
      </c>
    </row>
    <row r="110" spans="1:2" x14ac:dyDescent="0.2">
      <c r="A110" s="28" t="s">
        <v>212</v>
      </c>
      <c r="B110" s="1">
        <v>4.76</v>
      </c>
    </row>
    <row r="111" spans="1:2" x14ac:dyDescent="0.2">
      <c r="A111" s="28" t="s">
        <v>213</v>
      </c>
      <c r="B111" s="1">
        <v>4.55</v>
      </c>
    </row>
    <row r="112" spans="1:2" x14ac:dyDescent="0.2">
      <c r="A112" s="28" t="s">
        <v>214</v>
      </c>
      <c r="B112" s="1">
        <v>4.21</v>
      </c>
    </row>
    <row r="113" spans="1:2" x14ac:dyDescent="0.2">
      <c r="A113" s="28" t="s">
        <v>215</v>
      </c>
      <c r="B113" s="1">
        <v>3.59</v>
      </c>
    </row>
    <row r="114" spans="1:2" x14ac:dyDescent="0.2">
      <c r="A114" s="28" t="s">
        <v>216</v>
      </c>
      <c r="B114" s="1">
        <v>3.77</v>
      </c>
    </row>
    <row r="115" spans="1:2" x14ac:dyDescent="0.2">
      <c r="A115" s="28" t="s">
        <v>217</v>
      </c>
      <c r="B115" s="1">
        <v>3.8</v>
      </c>
    </row>
    <row r="116" spans="1:2" x14ac:dyDescent="0.2">
      <c r="A116" s="28" t="s">
        <v>218</v>
      </c>
      <c r="B116" s="1">
        <v>3.93</v>
      </c>
    </row>
    <row r="117" spans="1:2" x14ac:dyDescent="0.2">
      <c r="A117" s="28" t="s">
        <v>219</v>
      </c>
      <c r="B117" s="1">
        <v>4.42</v>
      </c>
    </row>
    <row r="118" spans="1:2" x14ac:dyDescent="0.2">
      <c r="A118" s="28" t="s">
        <v>220</v>
      </c>
      <c r="B118" s="1">
        <v>4.32</v>
      </c>
    </row>
    <row r="119" spans="1:2" x14ac:dyDescent="0.2">
      <c r="A119" s="28" t="s">
        <v>221</v>
      </c>
      <c r="B119" s="1">
        <v>3.51</v>
      </c>
    </row>
    <row r="120" spans="1:2" x14ac:dyDescent="0.2">
      <c r="A120" s="28" t="s">
        <v>222</v>
      </c>
      <c r="B120" s="1">
        <v>3.57</v>
      </c>
    </row>
    <row r="121" spans="1:2" x14ac:dyDescent="0.2">
      <c r="A121" s="28" t="s">
        <v>223</v>
      </c>
      <c r="B121" s="1">
        <v>3.76</v>
      </c>
    </row>
    <row r="122" spans="1:2" x14ac:dyDescent="0.2">
      <c r="A122" s="28" t="s">
        <v>224</v>
      </c>
      <c r="B122" s="1">
        <v>3.57</v>
      </c>
    </row>
    <row r="123" spans="1:2" x14ac:dyDescent="0.2">
      <c r="A123" s="28" t="s">
        <v>225</v>
      </c>
      <c r="B123" s="1">
        <v>3.8</v>
      </c>
    </row>
    <row r="124" spans="1:2" x14ac:dyDescent="0.2">
      <c r="A124" s="28" t="s">
        <v>226</v>
      </c>
      <c r="B124" s="1">
        <v>3.69</v>
      </c>
    </row>
    <row r="125" spans="1:2" x14ac:dyDescent="0.2">
      <c r="A125" s="28" t="s">
        <v>227</v>
      </c>
      <c r="B125" s="1">
        <v>3.79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BC0A-B654-4ACD-BCF5-6725DF181672}">
  <dimension ref="B2:L48"/>
  <sheetViews>
    <sheetView tabSelected="1" workbookViewId="0">
      <selection activeCell="N35" sqref="N35"/>
    </sheetView>
  </sheetViews>
  <sheetFormatPr baseColWidth="10" defaultColWidth="11.5" defaultRowHeight="15" x14ac:dyDescent="0.2"/>
  <cols>
    <col min="1" max="1" width="11.5" style="1"/>
    <col min="2" max="2" width="14.5" style="1" bestFit="1" customWidth="1"/>
    <col min="3" max="3" width="29.5" style="1" bestFit="1" customWidth="1"/>
    <col min="4" max="5" width="18.83203125" style="1" bestFit="1" customWidth="1"/>
    <col min="6" max="7" width="11.5" style="1"/>
    <col min="8" max="8" width="39.1640625" style="1" bestFit="1" customWidth="1"/>
    <col min="9" max="9" width="11.5" style="1"/>
    <col min="10" max="10" width="12.5" style="1" bestFit="1" customWidth="1"/>
    <col min="11" max="11" width="11.5" style="1"/>
    <col min="12" max="12" width="0" style="1" hidden="1" customWidth="1"/>
    <col min="13" max="16384" width="11.5" style="1"/>
  </cols>
  <sheetData>
    <row r="2" spans="2:10" ht="16" x14ac:dyDescent="0.2">
      <c r="B2" s="33" t="s">
        <v>228</v>
      </c>
      <c r="C2" s="33"/>
    </row>
    <row r="3" spans="2:10" x14ac:dyDescent="0.2">
      <c r="B3" s="1" t="s">
        <v>229</v>
      </c>
      <c r="C3" s="10" t="s">
        <v>232</v>
      </c>
    </row>
    <row r="4" spans="2:10" x14ac:dyDescent="0.2">
      <c r="B4" s="1" t="s">
        <v>230</v>
      </c>
      <c r="C4" s="39">
        <f>+Supuestos!B5</f>
        <v>3323243617000</v>
      </c>
    </row>
    <row r="6" spans="2:10" ht="16" thickBot="1" x14ac:dyDescent="0.25"/>
    <row r="7" spans="2:10" ht="16" thickBot="1" x14ac:dyDescent="0.25">
      <c r="B7" s="64" t="s">
        <v>233</v>
      </c>
      <c r="C7" s="60" t="s">
        <v>234</v>
      </c>
      <c r="D7" s="62" t="s">
        <v>235</v>
      </c>
      <c r="E7" s="63"/>
      <c r="G7" s="64" t="s">
        <v>233</v>
      </c>
      <c r="H7" s="60" t="s">
        <v>238</v>
      </c>
      <c r="I7" s="62" t="s">
        <v>235</v>
      </c>
      <c r="J7" s="63"/>
    </row>
    <row r="8" spans="2:10" ht="17" thickBot="1" x14ac:dyDescent="0.25">
      <c r="B8" s="65"/>
      <c r="C8" s="61"/>
      <c r="D8" s="31" t="s">
        <v>237</v>
      </c>
      <c r="E8" s="32" t="s">
        <v>236</v>
      </c>
      <c r="G8" s="65"/>
      <c r="H8" s="61"/>
      <c r="I8" s="31" t="s">
        <v>237</v>
      </c>
      <c r="J8" s="32" t="s">
        <v>236</v>
      </c>
    </row>
    <row r="9" spans="2:10" ht="16" thickBot="1" x14ac:dyDescent="0.25">
      <c r="B9" s="40">
        <v>2025</v>
      </c>
      <c r="C9" s="38">
        <f>+C4</f>
        <v>3323243617000</v>
      </c>
      <c r="D9" s="36">
        <v>0.5</v>
      </c>
      <c r="E9" s="37">
        <v>1.5</v>
      </c>
      <c r="G9" s="40">
        <v>2025</v>
      </c>
      <c r="H9" s="45">
        <f>+Supuestos!B6</f>
        <v>2112000</v>
      </c>
      <c r="I9" s="36">
        <v>0.5</v>
      </c>
      <c r="J9" s="37">
        <v>1.5</v>
      </c>
    </row>
    <row r="10" spans="2:10" x14ac:dyDescent="0.2">
      <c r="B10" s="41">
        <v>2026</v>
      </c>
      <c r="C10" s="34">
        <f>+C9*(1+Supuestos!$B$4)</f>
        <v>3479723074402.2866</v>
      </c>
      <c r="D10" s="34">
        <f>+C9*(1+(Supuestos!$B$4*'Industria Automotriz'!$D$9))</f>
        <v>3401483345701.1431</v>
      </c>
      <c r="E10" s="34">
        <f>+C9*(1+(Supuestos!B4*'Industria Automotriz'!E9))</f>
        <v>3557962803103.4292</v>
      </c>
      <c r="G10" s="41">
        <v>2026</v>
      </c>
      <c r="H10" s="43">
        <f>+H9*(1+Supuestos!$B$4)</f>
        <v>2211446.4</v>
      </c>
      <c r="I10" s="43">
        <f>+H9*(1+(Supuestos!$B$4*'Industria Automotriz'!$D$9))</f>
        <v>2161723.1999999997</v>
      </c>
      <c r="J10" s="43">
        <f>+H9*(1+(Supuestos!G4*'Industria Automotriz'!J9))</f>
        <v>2112000</v>
      </c>
    </row>
    <row r="11" spans="2:10" x14ac:dyDescent="0.2">
      <c r="B11" s="41">
        <v>2027</v>
      </c>
      <c r="C11" s="34">
        <f>+C10*(1+Supuestos!$B$4)</f>
        <v>3643570580437.438</v>
      </c>
      <c r="D11" s="34">
        <f>+D10*(1+(Supuestos!$B$4*'Industria Automotriz'!$D$9))</f>
        <v>3481565086560.502</v>
      </c>
      <c r="E11" s="34">
        <f>+E10*(1+(Supuestos!$B$4*'Industria Automotriz'!$E$9))</f>
        <v>3809260098630.8047</v>
      </c>
      <c r="G11" s="41">
        <v>2027</v>
      </c>
      <c r="H11" s="43">
        <f>+H10*(1+Supuestos!$B$4)</f>
        <v>2315575.3693527272</v>
      </c>
      <c r="I11" s="43">
        <f>+I10*(1+(Supuestos!$B$4*'Industria Automotriz'!$D$9))</f>
        <v>2212617.0423381813</v>
      </c>
      <c r="J11" s="43">
        <f>+J10*(1+(Supuestos!$B$4*'Industria Automotriz'!$E$9))</f>
        <v>2261169.5999999996</v>
      </c>
    </row>
    <row r="12" spans="2:10" x14ac:dyDescent="0.2">
      <c r="B12" s="41">
        <v>2028</v>
      </c>
      <c r="C12" s="34">
        <f>+C11*(1+Supuestos!$B$4)</f>
        <v>3815133069722.6719</v>
      </c>
      <c r="D12" s="34">
        <f>+D11*(1+(Supuestos!$B$4*'Industria Automotriz'!$D$9))</f>
        <v>3563532206405.2295</v>
      </c>
      <c r="E12" s="34">
        <f>+E11*(1+(Supuestos!$B$4*'Industria Automotriz'!$E$9))</f>
        <v>4078306407915.2349</v>
      </c>
      <c r="G12" s="41">
        <v>2028</v>
      </c>
      <c r="H12" s="43">
        <f>+H11*(1+Supuestos!$B$4)</f>
        <v>2424607.3932214766</v>
      </c>
      <c r="I12" s="43">
        <f>+I11*(1+(Supuestos!$B$4*'Industria Automotriz'!$D$9))</f>
        <v>2264709.0876599564</v>
      </c>
      <c r="J12" s="43">
        <f>+J11*(1+(Supuestos!$B$4*'Industria Automotriz'!$E$9))</f>
        <v>2420874.9810436359</v>
      </c>
    </row>
    <row r="13" spans="2:10" x14ac:dyDescent="0.2">
      <c r="B13" s="41">
        <v>2029</v>
      </c>
      <c r="C13" s="34">
        <f>+C12*(1+Supuestos!$B$4)</f>
        <v>3994773812764.75</v>
      </c>
      <c r="D13" s="34">
        <f>+D12*(1+(Supuestos!$B$4*'Industria Automotriz'!$D$9))</f>
        <v>3647429093055.5742</v>
      </c>
      <c r="E13" s="34">
        <f>+E12*(1+(Supuestos!$B$4*'Industria Automotriz'!$E$9))</f>
        <v>4366355335730.6475</v>
      </c>
      <c r="G13" s="41">
        <v>2029</v>
      </c>
      <c r="H13" s="43">
        <f>+H12*(1+Supuestos!$B$4)</f>
        <v>2538773.3386141188</v>
      </c>
      <c r="I13" s="43">
        <f>+I12*(1+(Supuestos!$B$4*'Industria Automotriz'!$D$9))</f>
        <v>2318027.5454760231</v>
      </c>
      <c r="J13" s="43">
        <f>+J12*(1+(Supuestos!$B$4*'Industria Automotriz'!$E$9))</f>
        <v>2591860.2805570289</v>
      </c>
    </row>
    <row r="14" spans="2:10" x14ac:dyDescent="0.2">
      <c r="B14" s="41">
        <v>2030</v>
      </c>
      <c r="C14" s="34">
        <f>+C13*(1+Supuestos!$B$4)</f>
        <v>4182873185157.6138</v>
      </c>
      <c r="D14" s="34">
        <f>+D13*(1+(Supuestos!$B$4*'Industria Automotriz'!$D$9))</f>
        <v>3733301179362.3071</v>
      </c>
      <c r="E14" s="34">
        <f>+E13*(1+(Supuestos!$B$4*'Industria Automotriz'!$E$9))</f>
        <v>4674749028386.332</v>
      </c>
      <c r="G14" s="41">
        <v>2030</v>
      </c>
      <c r="H14" s="43">
        <f>+H13*(1+Supuestos!$B$4)</f>
        <v>2658314.9432264082</v>
      </c>
      <c r="I14" s="43">
        <f>+I13*(1+(Supuestos!$B$4*'Industria Automotriz'!$D$9))</f>
        <v>2372601.2894387185</v>
      </c>
      <c r="J14" s="43">
        <f>+J13*(1+(Supuestos!$B$4*'Industria Automotriz'!$E$9))</f>
        <v>2774922.1940544625</v>
      </c>
    </row>
    <row r="15" spans="2:10" x14ac:dyDescent="0.2">
      <c r="B15" s="41">
        <v>2031</v>
      </c>
      <c r="C15" s="34">
        <f>+C14*(1+Supuestos!$B$4)</f>
        <v>4379829472998.7397</v>
      </c>
      <c r="D15" s="34">
        <f>+D14*(1+(Supuestos!$B$4*'Industria Automotriz'!$D$9))</f>
        <v>3821194967810.0659</v>
      </c>
      <c r="E15" s="34">
        <f>+E14*(1+(Supuestos!$B$4*'Industria Automotriz'!$E$9))</f>
        <v>5004924427375.3359</v>
      </c>
      <c r="G15" s="41">
        <v>2031</v>
      </c>
      <c r="H15" s="43">
        <f>+H14*(1+Supuestos!$B$4)</f>
        <v>2783485.3273031465</v>
      </c>
      <c r="I15" s="43">
        <f>+I14*(1+(Supuestos!$B$4*'Industria Automotriz'!$D$9))</f>
        <v>2428459.8729780265</v>
      </c>
      <c r="J15" s="43">
        <f>+J14*(1+(Supuestos!$B$4*'Industria Automotriz'!$E$9))</f>
        <v>2970913.6872922587</v>
      </c>
    </row>
    <row r="16" spans="2:10" x14ac:dyDescent="0.2">
      <c r="B16" s="41">
        <v>2032</v>
      </c>
      <c r="C16" s="34">
        <f>+C15*(1+Supuestos!$B$4)</f>
        <v>4586059716229.6211</v>
      </c>
      <c r="D16" s="34">
        <f>+D15*(1+(Supuestos!$B$4*'Industria Automotriz'!$D$9))</f>
        <v>3911158055699.9395</v>
      </c>
      <c r="E16" s="34">
        <f>+E15*(1+(Supuestos!$B$4*'Industria Automotriz'!$E$9))</f>
        <v>5358419964715.207</v>
      </c>
      <c r="G16" s="41">
        <v>2032</v>
      </c>
      <c r="H16" s="43">
        <f>+H15*(1+Supuestos!$B$4)</f>
        <v>2914549.5296010249</v>
      </c>
      <c r="I16" s="43">
        <f>+I15*(1+(Supuestos!$B$4*'Industria Automotriz'!$D$9))</f>
        <v>2485633.5453057066</v>
      </c>
      <c r="J16" s="43">
        <f>+J15*(1+(Supuestos!$B$4*'Industria Automotriz'!$E$9))</f>
        <v>3180747.9706103983</v>
      </c>
    </row>
    <row r="17" spans="2:10" x14ac:dyDescent="0.2">
      <c r="B17" s="41">
        <v>2033</v>
      </c>
      <c r="C17" s="34">
        <f>+C16*(1+Supuestos!$B$4)</f>
        <v>4802000591686.0879</v>
      </c>
      <c r="D17" s="34">
        <f>+D16*(1+(Supuestos!$B$4*'Industria Automotriz'!$D$9))</f>
        <v>4003239160924.9292</v>
      </c>
      <c r="E17" s="34">
        <f>+E16*(1+(Supuestos!$B$4*'Industria Automotriz'!$E$9))</f>
        <v>5736882731177.6035</v>
      </c>
      <c r="G17" s="41">
        <v>2033</v>
      </c>
      <c r="H17" s="43">
        <f>+H16*(1+Supuestos!$B$4)</f>
        <v>3051785.0685880114</v>
      </c>
      <c r="I17" s="43">
        <f>+I16*(1+(Supuestos!$B$4*'Industria Automotriz'!$D$9))</f>
        <v>2544153.2677962105</v>
      </c>
      <c r="J17" s="43">
        <f>+J16*(1+(Supuestos!$B$4*'Industria Automotriz'!$E$9))</f>
        <v>3405402.7539800783</v>
      </c>
    </row>
    <row r="18" spans="2:10" x14ac:dyDescent="0.2">
      <c r="B18" s="41">
        <v>2034</v>
      </c>
      <c r="C18" s="34">
        <f>+C17*(1+Supuestos!$B$4)</f>
        <v>5028109337728.252</v>
      </c>
      <c r="D18" s="34">
        <f>+D17*(1+(Supuestos!$B$4*'Industria Automotriz'!$D$9))</f>
        <v>4097488148352.25</v>
      </c>
      <c r="E18" s="34">
        <f>+E17*(1+(Supuestos!$B$4*'Industria Automotriz'!$E$9))</f>
        <v>6142076150806.708</v>
      </c>
      <c r="G18" s="41">
        <v>2034</v>
      </c>
      <c r="H18" s="43">
        <f>+H17*(1+Supuestos!$B$4)</f>
        <v>3195482.5300675714</v>
      </c>
      <c r="I18" s="43">
        <f>+I17*(1+(Supuestos!$B$4*'Industria Automotriz'!$D$9))</f>
        <v>2604050.7307532579</v>
      </c>
      <c r="J18" s="43">
        <f>+J17*(1+(Supuestos!$B$4*'Industria Automotriz'!$E$9))</f>
        <v>3645924.802583348</v>
      </c>
    </row>
    <row r="19" spans="2:10" ht="16" thickBot="1" x14ac:dyDescent="0.25">
      <c r="B19" s="42">
        <v>2035</v>
      </c>
      <c r="C19" s="35">
        <f>+C18*(1+Supuestos!$B$4)</f>
        <v>5264864722407.9199</v>
      </c>
      <c r="D19" s="35">
        <f>+D18*(1+(Supuestos!$B$4*'Industria Automotriz'!$D$9))</f>
        <v>4193956056826.752</v>
      </c>
      <c r="E19" s="35">
        <f>+E18*(1+(Supuestos!$B$4*'Industria Automotriz'!$E$9))</f>
        <v>6575888197485.3896</v>
      </c>
      <c r="G19" s="42">
        <v>2035</v>
      </c>
      <c r="H19" s="44">
        <f>+H18*(1+Supuestos!$B$4)</f>
        <v>3345946.1824719803</v>
      </c>
      <c r="I19" s="44">
        <f>+I18*(1+(Supuestos!$B$4*'Industria Automotriz'!$D$9))</f>
        <v>2665358.3705711509</v>
      </c>
      <c r="J19" s="44">
        <f>+J18*(1+(Supuestos!$B$4*'Industria Automotriz'!$E$9))</f>
        <v>3903434.8141512629</v>
      </c>
    </row>
    <row r="21" spans="2:10" ht="16" thickBot="1" x14ac:dyDescent="0.25"/>
    <row r="22" spans="2:10" ht="16" thickBot="1" x14ac:dyDescent="0.25">
      <c r="B22" s="64" t="s">
        <v>233</v>
      </c>
      <c r="C22" s="60" t="s">
        <v>280</v>
      </c>
      <c r="D22" s="62" t="s">
        <v>235</v>
      </c>
      <c r="E22" s="63"/>
      <c r="G22" s="64" t="s">
        <v>233</v>
      </c>
      <c r="H22" s="60" t="s">
        <v>242</v>
      </c>
      <c r="I22" s="62" t="s">
        <v>235</v>
      </c>
      <c r="J22" s="63"/>
    </row>
    <row r="23" spans="2:10" ht="17" thickBot="1" x14ac:dyDescent="0.25">
      <c r="B23" s="65"/>
      <c r="C23" s="61"/>
      <c r="D23" s="31" t="s">
        <v>237</v>
      </c>
      <c r="E23" s="32" t="s">
        <v>236</v>
      </c>
      <c r="G23" s="65"/>
      <c r="H23" s="61"/>
      <c r="I23" s="31" t="s">
        <v>237</v>
      </c>
      <c r="J23" s="32" t="s">
        <v>236</v>
      </c>
    </row>
    <row r="24" spans="2:10" ht="16" thickBot="1" x14ac:dyDescent="0.25">
      <c r="B24" s="40">
        <v>2025</v>
      </c>
      <c r="C24" s="48">
        <v>1.5E-3</v>
      </c>
      <c r="D24" s="36">
        <v>0.5</v>
      </c>
      <c r="E24" s="37">
        <v>1.5</v>
      </c>
      <c r="G24" s="40">
        <v>2025</v>
      </c>
      <c r="H24" s="38">
        <f>9000*12</f>
        <v>108000</v>
      </c>
      <c r="I24" s="36">
        <v>0.5</v>
      </c>
      <c r="J24" s="37">
        <v>1.5</v>
      </c>
    </row>
    <row r="25" spans="2:10" x14ac:dyDescent="0.2">
      <c r="B25" s="41">
        <v>2026</v>
      </c>
      <c r="C25" s="49">
        <f>+C24*(1+Supuestos!$B$4)</f>
        <v>1.5706295454545455E-3</v>
      </c>
      <c r="D25" s="49">
        <f>+C24*(1+(Supuestos!$B$4*'Industria Automotriz'!$D$9))</f>
        <v>1.5353147727272727E-3</v>
      </c>
      <c r="E25" s="49">
        <f>+C24*(1+(Supuestos!B19*'Industria Automotriz'!E24))</f>
        <v>1.5E-3</v>
      </c>
      <c r="G25" s="41">
        <v>2026</v>
      </c>
      <c r="H25" s="34">
        <f>+H24*(1+Supuestos!$B$4)</f>
        <v>113085.32727272727</v>
      </c>
      <c r="I25" s="34">
        <f>+H24*(1+(Supuestos!$B$4*'Industria Automotriz'!$D$9))</f>
        <v>110542.66363636362</v>
      </c>
      <c r="J25" s="34">
        <f>+H25*(1+(Supuestos!G19*'Industria Automotriz'!J24))</f>
        <v>113085.32727272727</v>
      </c>
    </row>
    <row r="26" spans="2:10" x14ac:dyDescent="0.2">
      <c r="B26" s="41">
        <v>2027</v>
      </c>
      <c r="C26" s="49">
        <f>+C25*(1+Supuestos!$B$4)</f>
        <v>1.6445847793698349E-3</v>
      </c>
      <c r="D26" s="49">
        <f>+D25*(1+(Supuestos!$B$4*'Industria Automotriz'!$D$9))</f>
        <v>1.5714609675697312E-3</v>
      </c>
      <c r="E26" s="49">
        <f>+E25*(1+(Supuestos!$B$4*'Industria Automotriz'!$E$9))</f>
        <v>1.6059443181818181E-3</v>
      </c>
      <c r="G26" s="41">
        <v>2027</v>
      </c>
      <c r="H26" s="34">
        <f>+H25*(1+Supuestos!$B$4)</f>
        <v>118410.10411462809</v>
      </c>
      <c r="I26" s="34">
        <f>+I25*(1+(Supuestos!$B$4*'Industria Automotriz'!$D$9))</f>
        <v>113145.18966502063</v>
      </c>
      <c r="J26" s="34">
        <f>+J25*(1+(Supuestos!$B$4*'Industria Automotriz'!$E$9))</f>
        <v>121072.49253557849</v>
      </c>
    </row>
    <row r="27" spans="2:10" x14ac:dyDescent="0.2">
      <c r="B27" s="41">
        <v>2028</v>
      </c>
      <c r="C27" s="49">
        <f>+C26*(1+Supuestos!$B$4)</f>
        <v>1.7220222963220718E-3</v>
      </c>
      <c r="D27" s="49">
        <f>+D26*(1+(Supuestos!$B$4*'Industria Automotriz'!$D$9))</f>
        <v>1.6084581588494012E-3</v>
      </c>
      <c r="E27" s="49">
        <f>+E26*(1+(Supuestos!$B$4*'Industria Automotriz'!$E$9))</f>
        <v>1.7193714354003097E-3</v>
      </c>
      <c r="G27" s="41">
        <v>2028</v>
      </c>
      <c r="H27" s="34">
        <f>+H26*(1+Supuestos!$B$4)</f>
        <v>123985.60533518915</v>
      </c>
      <c r="I27" s="34">
        <f>+I26*(1+(Supuestos!$B$4*'Industria Automotriz'!$D$9))</f>
        <v>115808.98743715687</v>
      </c>
      <c r="J27" s="34">
        <f>+J26*(1+(Supuestos!$B$4*'Industria Automotriz'!$E$9))</f>
        <v>129623.78765041524</v>
      </c>
    </row>
    <row r="28" spans="2:10" x14ac:dyDescent="0.2">
      <c r="B28" s="41">
        <v>2029</v>
      </c>
      <c r="C28" s="49">
        <f>+C27*(1+Supuestos!$B$4)</f>
        <v>1.8031060643566188E-3</v>
      </c>
      <c r="D28" s="49">
        <f>+D27*(1+(Supuestos!$B$4*'Industria Automotriz'!$D$9))</f>
        <v>1.6463263817301304E-3</v>
      </c>
      <c r="E28" s="49">
        <f>+E27*(1+(Supuestos!$B$4*'Industria Automotriz'!$E$9))</f>
        <v>1.8408098583501628E-3</v>
      </c>
      <c r="G28" s="41">
        <v>2029</v>
      </c>
      <c r="H28" s="34">
        <f>+H27*(1+Supuestos!$B$4)</f>
        <v>129823.63663367653</v>
      </c>
      <c r="I28" s="34">
        <f>+I27*(1+(Supuestos!$B$4*'Industria Automotriz'!$D$9))</f>
        <v>118535.49948456937</v>
      </c>
      <c r="J28" s="34">
        <f>+J27*(1+(Supuestos!$B$4*'Industria Automotriz'!$E$9))</f>
        <v>138779.05685226058</v>
      </c>
    </row>
    <row r="29" spans="2:10" x14ac:dyDescent="0.2">
      <c r="B29" s="41">
        <v>2030</v>
      </c>
      <c r="C29" s="49">
        <f>+C28*(1+Supuestos!$B$4)</f>
        <v>1.8880077721778472E-3</v>
      </c>
      <c r="D29" s="49">
        <f>+D28*(1+(Supuestos!$B$4*'Industria Automotriz'!$D$9))</f>
        <v>1.6850861430672721E-3</v>
      </c>
      <c r="E29" s="49">
        <f>+E28*(1+(Supuestos!$B$4*'Industria Automotriz'!$E$9))</f>
        <v>1.9708254219136809E-3</v>
      </c>
      <c r="G29" s="41">
        <v>2030</v>
      </c>
      <c r="H29" s="34">
        <f>+H28*(1+Supuestos!$B$4)</f>
        <v>135936.55959680496</v>
      </c>
      <c r="I29" s="34">
        <f>+I28*(1+(Supuestos!$B$4*'Industria Automotriz'!$D$9))</f>
        <v>121326.20230084358</v>
      </c>
      <c r="J29" s="34">
        <f>+J28*(1+(Supuestos!$B$4*'Industria Automotriz'!$E$9))</f>
        <v>148580.95855634625</v>
      </c>
    </row>
    <row r="30" spans="2:10" x14ac:dyDescent="0.2">
      <c r="B30" s="41">
        <v>2031</v>
      </c>
      <c r="C30" s="49">
        <f>+C29*(1+Supuestos!$B$4)</f>
        <v>1.9769071926868942E-3</v>
      </c>
      <c r="D30" s="49">
        <f>+D29*(1+(Supuestos!$B$4*'Industria Automotriz'!$D$9))</f>
        <v>1.7247584325128034E-3</v>
      </c>
      <c r="E30" s="49">
        <f>+E29*(1+(Supuestos!$B$4*'Industria Automotriz'!$E$9))</f>
        <v>2.1100239256337068E-3</v>
      </c>
      <c r="G30" s="41">
        <v>2031</v>
      </c>
      <c r="H30" s="34">
        <f>+H29*(1+Supuestos!$B$4)</f>
        <v>142337.31787345634</v>
      </c>
      <c r="I30" s="34">
        <f>+I29*(1+(Supuestos!$B$4*'Industria Automotriz'!$D$9))</f>
        <v>124182.60714092184</v>
      </c>
      <c r="J30" s="34">
        <f>+J29*(1+(Supuestos!$B$4*'Industria Automotriz'!$E$9))</f>
        <v>159075.16412238163</v>
      </c>
    </row>
    <row r="31" spans="2:10" x14ac:dyDescent="0.2">
      <c r="B31" s="41">
        <v>2032</v>
      </c>
      <c r="C31" s="49">
        <f>+C30*(1+Supuestos!$B$4)</f>
        <v>2.069992563637092E-3</v>
      </c>
      <c r="D31" s="49">
        <f>+D30*(1+(Supuestos!$B$4*'Industria Automotriz'!$D$9))</f>
        <v>1.7653647338818944E-3</v>
      </c>
      <c r="E31" s="49">
        <f>+E30*(1+(Supuestos!$B$4*'Industria Automotriz'!$E$9))</f>
        <v>2.259053956399431E-3</v>
      </c>
      <c r="G31" s="41">
        <v>2032</v>
      </c>
      <c r="H31" s="34">
        <f>+H30*(1+Supuestos!$B$4)</f>
        <v>149039.46458187059</v>
      </c>
      <c r="I31" s="34">
        <f>+I30*(1+(Supuestos!$B$4*'Industria Automotriz'!$D$9))</f>
        <v>127106.26083949639</v>
      </c>
      <c r="J31" s="34">
        <f>+J30*(1+(Supuestos!$B$4*'Industria Automotriz'!$E$9))</f>
        <v>170310.57065745266</v>
      </c>
    </row>
    <row r="32" spans="2:10" x14ac:dyDescent="0.2">
      <c r="B32" s="41">
        <v>2033</v>
      </c>
      <c r="C32" s="49">
        <f>+C31*(1+Supuestos!$B$4)</f>
        <v>2.1674609862130769E-3</v>
      </c>
      <c r="D32" s="49">
        <f>+D31*(1+(Supuestos!$B$4*'Industria Automotriz'!$D$9))</f>
        <v>1.8069270367870819E-3</v>
      </c>
      <c r="E32" s="49">
        <f>+E31*(1+(Supuestos!$B$4*'Industria Automotriz'!$E$9))</f>
        <v>2.4186099104972153E-3</v>
      </c>
      <c r="G32" s="41">
        <v>2033</v>
      </c>
      <c r="H32" s="34">
        <f>+H31*(1+Supuestos!$B$4)</f>
        <v>156057.19100734149</v>
      </c>
      <c r="I32" s="34">
        <f>+I31*(1+(Supuestos!$B$4*'Industria Automotriz'!$D$9))</f>
        <v>130098.74664866988</v>
      </c>
      <c r="J32" s="34">
        <f>+J31*(1+(Supuestos!$B$4*'Industria Automotriz'!$E$9))</f>
        <v>182339.52884909278</v>
      </c>
    </row>
    <row r="33" spans="2:12" x14ac:dyDescent="0.2">
      <c r="B33" s="41">
        <v>2034</v>
      </c>
      <c r="C33" s="49">
        <f>+C32*(1+Supuestos!$B$4)</f>
        <v>2.2695188423775374E-3</v>
      </c>
      <c r="D33" s="49">
        <f>+D32*(1+(Supuestos!$B$4*'Industria Automotriz'!$D$9))</f>
        <v>1.8494678485463485E-3</v>
      </c>
      <c r="E33" s="49">
        <f>+E32*(1+(Supuestos!$B$4*'Industria Automotriz'!$E$9))</f>
        <v>2.5894352291074923E-3</v>
      </c>
      <c r="G33" s="41">
        <v>2034</v>
      </c>
      <c r="H33" s="34">
        <f>+H32*(1+Supuestos!$B$4)</f>
        <v>163405.35665118264</v>
      </c>
      <c r="I33" s="34">
        <f>+I32*(1+(Supuestos!$B$4*'Industria Automotriz'!$D$9))</f>
        <v>133161.68509533707</v>
      </c>
      <c r="J33" s="34">
        <f>+J32*(1+(Supuestos!$B$4*'Industria Automotriz'!$E$9))</f>
        <v>195218.08689010015</v>
      </c>
    </row>
    <row r="34" spans="2:12" ht="16" thickBot="1" x14ac:dyDescent="0.25">
      <c r="B34" s="42">
        <v>2035</v>
      </c>
      <c r="C34" s="50">
        <f>+C33*(1+Supuestos!$B$4)</f>
        <v>2.3763822318693052E-3</v>
      </c>
      <c r="D34" s="50">
        <f>+D33*(1+(Supuestos!$B$4*'Industria Automotriz'!$D$9))</f>
        <v>1.8930102063715564E-3</v>
      </c>
      <c r="E34" s="50">
        <f>+E33*(1+(Supuestos!$B$4*'Industria Automotriz'!$E$9))</f>
        <v>2.7723258623233412E-3</v>
      </c>
      <c r="G34" s="42">
        <v>2035</v>
      </c>
      <c r="H34" s="35">
        <f>+H33*(1+Supuestos!$B$4)</f>
        <v>171099.52069458991</v>
      </c>
      <c r="I34" s="35">
        <f>+I33*(1+(Supuestos!$B$4*'Industria Automotriz'!$D$9))</f>
        <v>136296.73485875205</v>
      </c>
      <c r="J34" s="35">
        <f>+J33*(1+(Supuestos!$B$4*'Industria Automotriz'!$E$9))</f>
        <v>209006.25163165387</v>
      </c>
    </row>
    <row r="35" spans="2:12" ht="16" thickBot="1" x14ac:dyDescent="0.25"/>
    <row r="36" spans="2:12" ht="17" thickBot="1" x14ac:dyDescent="0.25">
      <c r="B36" s="64" t="s">
        <v>233</v>
      </c>
      <c r="C36" s="60" t="s">
        <v>281</v>
      </c>
      <c r="D36" s="29" t="s">
        <v>235</v>
      </c>
      <c r="E36" s="30"/>
      <c r="G36" s="64" t="s">
        <v>233</v>
      </c>
      <c r="H36" s="60" t="s">
        <v>282</v>
      </c>
      <c r="I36" s="29" t="s">
        <v>235</v>
      </c>
      <c r="J36" s="30"/>
    </row>
    <row r="37" spans="2:12" ht="17" thickBot="1" x14ac:dyDescent="0.25">
      <c r="B37" s="65"/>
      <c r="C37" s="61"/>
      <c r="D37" s="31" t="s">
        <v>237</v>
      </c>
      <c r="E37" s="32" t="s">
        <v>236</v>
      </c>
      <c r="G37" s="65"/>
      <c r="H37" s="61"/>
      <c r="I37" s="31" t="s">
        <v>237</v>
      </c>
      <c r="J37" s="32" t="s">
        <v>236</v>
      </c>
    </row>
    <row r="38" spans="2:12" ht="16" thickBot="1" x14ac:dyDescent="0.25">
      <c r="B38" s="40">
        <v>2025</v>
      </c>
      <c r="C38" s="48">
        <f>+Supuestos!B14</f>
        <v>1.9885010822510824E-3</v>
      </c>
      <c r="D38" s="36">
        <v>0.5</v>
      </c>
      <c r="E38" s="37">
        <v>1.5</v>
      </c>
      <c r="G38" s="40">
        <v>2025</v>
      </c>
      <c r="H38" s="38">
        <f>+Supuestos!B15</f>
        <v>146990.00000000003</v>
      </c>
      <c r="I38" s="36">
        <v>0.5</v>
      </c>
      <c r="J38" s="37">
        <v>1.5</v>
      </c>
      <c r="L38" s="1">
        <v>146990.00000000003</v>
      </c>
    </row>
    <row r="39" spans="2:12" x14ac:dyDescent="0.2">
      <c r="B39" s="41">
        <v>2026</v>
      </c>
      <c r="C39" s="49">
        <f>+C38*(1+Supuestos!$B$4)</f>
        <v>2.0821323673012597E-3</v>
      </c>
      <c r="D39" s="49">
        <f>+C38*(1+(Supuestos!$B$4*'Industria Automotriz'!$D$9))</f>
        <v>2.0353167247761706E-3</v>
      </c>
      <c r="E39" s="49">
        <f>+C38*(1+(Supuestos!B33*'Industria Automotriz'!E38))</f>
        <v>1.9885010822510824E-3</v>
      </c>
      <c r="G39" s="41">
        <v>2026</v>
      </c>
      <c r="H39" s="34">
        <f>+H38*(1+Supuestos!$B$4)</f>
        <v>153911.22459090911</v>
      </c>
      <c r="I39" s="34">
        <f>+H38*(1+(Supuestos!$B$4*'Industria Automotriz'!$D$9))</f>
        <v>150450.61229545457</v>
      </c>
      <c r="J39" s="34">
        <f>+H39*(1+(Supuestos!G33*'Industria Automotriz'!J38))</f>
        <v>153911.22459090911</v>
      </c>
      <c r="L39" s="1">
        <v>153911.22459090911</v>
      </c>
    </row>
    <row r="40" spans="2:12" x14ac:dyDescent="0.2">
      <c r="B40" s="41">
        <v>2027</v>
      </c>
      <c r="C40" s="49">
        <f>+C39*(1+Supuestos!$B$4)</f>
        <v>2.1801724090870496E-3</v>
      </c>
      <c r="D40" s="49">
        <f>+D39*(1+(Supuestos!$B$4*'Industria Automotriz'!$D$9))</f>
        <v>2.083234556485162E-3</v>
      </c>
      <c r="E40" s="49">
        <f>+E39*(1+(Supuestos!$B$4*'Industria Automotriz'!$E$9))</f>
        <v>2.1289480098263479E-3</v>
      </c>
      <c r="G40" s="41">
        <v>2027</v>
      </c>
      <c r="H40" s="34">
        <f>+H39*(1+Supuestos!$B$4)</f>
        <v>161158.34447971469</v>
      </c>
      <c r="I40" s="34">
        <f>+I39*(1+(Supuestos!$B$4*'Industria Automotriz'!$D$9))</f>
        <v>153992.69841538323</v>
      </c>
      <c r="J40" s="34">
        <f>+J39*(1+(Supuestos!$B$4*'Industria Automotriz'!$E$9))</f>
        <v>164781.90442411747</v>
      </c>
      <c r="L40" s="1">
        <v>161158.34447971469</v>
      </c>
    </row>
    <row r="41" spans="2:12" x14ac:dyDescent="0.2">
      <c r="B41" s="41">
        <v>2028</v>
      </c>
      <c r="C41" s="49">
        <f>+C40*(1+Supuestos!$B$4)</f>
        <v>2.2828287999312894E-3</v>
      </c>
      <c r="D41" s="49">
        <f>+D40*(1+(Supuestos!$B$4*'Industria Automotriz'!$D$9))</f>
        <v>2.1322805264184113E-3</v>
      </c>
      <c r="E41" s="49">
        <f>+E40*(1+(Supuestos!$B$4*'Industria Automotriz'!$E$9))</f>
        <v>2.2793146400567417E-3</v>
      </c>
      <c r="G41" s="41">
        <v>2028</v>
      </c>
      <c r="H41" s="34">
        <f>+H40*(1+Supuestos!$B$4)</f>
        <v>168746.7048909209</v>
      </c>
      <c r="I41" s="34">
        <f>+I40*(1+(Supuestos!$B$4*'Industria Automotriz'!$D$9))</f>
        <v>157618.17651284902</v>
      </c>
      <c r="J41" s="34">
        <f>+J40*(1+(Supuestos!$B$4*'Industria Automotriz'!$E$9))</f>
        <v>176420.37543272722</v>
      </c>
      <c r="L41" s="1">
        <v>168746.7048909209</v>
      </c>
    </row>
    <row r="42" spans="2:12" x14ac:dyDescent="0.2">
      <c r="B42" s="41">
        <v>2029</v>
      </c>
      <c r="C42" s="49">
        <f>+C41*(1+Supuestos!$B$4)</f>
        <v>2.3903189069244177E-3</v>
      </c>
      <c r="D42" s="49">
        <f>+D41*(1+(Supuestos!$B$4*'Industria Automotriz'!$D$9))</f>
        <v>2.182481194539248E-3</v>
      </c>
      <c r="E42" s="49">
        <f>+E41*(1+(Supuestos!$B$4*'Industria Automotriz'!$E$9))</f>
        <v>2.44030159703184E-3</v>
      </c>
      <c r="G42" s="41">
        <v>2029</v>
      </c>
      <c r="H42" s="34">
        <f>+H41*(1+Supuestos!$B$4)</f>
        <v>176692.37359985293</v>
      </c>
      <c r="I42" s="34">
        <f>+I41*(1+(Supuestos!$B$4*'Industria Automotriz'!$D$9))</f>
        <v>161329.00990034128</v>
      </c>
      <c r="J42" s="34">
        <f>+J41*(1+(Supuestos!$B$4*'Industria Automotriz'!$E$9))</f>
        <v>188880.86635846097</v>
      </c>
      <c r="L42" s="1">
        <v>176692.37359985293</v>
      </c>
    </row>
    <row r="43" spans="2:12" x14ac:dyDescent="0.2">
      <c r="B43" s="41">
        <v>2030</v>
      </c>
      <c r="C43" s="49">
        <f>+C42*(1+Supuestos!$B$4)</f>
        <v>2.5028703321827361E-3</v>
      </c>
      <c r="D43" s="49">
        <f>+D42*(1+(Supuestos!$B$4*'Industria Automotriz'!$D$9))</f>
        <v>2.2338637461170479E-3</v>
      </c>
      <c r="E43" s="49">
        <f>+E42*(1+(Supuestos!$B$4*'Industria Automotriz'!$E$9))</f>
        <v>2.6126589896022E-3</v>
      </c>
      <c r="G43" s="41">
        <v>2030</v>
      </c>
      <c r="H43" s="34">
        <f>+H42*(1+Supuestos!$B$4)</f>
        <v>185012.17495494781</v>
      </c>
      <c r="I43" s="34">
        <f>+I42*(1+(Supuestos!$B$4*'Industria Automotriz'!$D$9))</f>
        <v>165127.20811297224</v>
      </c>
      <c r="J43" s="34">
        <f>+J42*(1+(Supuestos!$B$4*'Industria Automotriz'!$E$9))</f>
        <v>202221.4360944198</v>
      </c>
      <c r="L43" s="1">
        <v>185012.17495494781</v>
      </c>
    </row>
    <row r="44" spans="2:12" x14ac:dyDescent="0.2">
      <c r="B44" s="41">
        <v>2031</v>
      </c>
      <c r="C44" s="49">
        <f>+C43*(1+Supuestos!$B$4)</f>
        <v>2.6207213947785587E-3</v>
      </c>
      <c r="D44" s="49">
        <f>+D43*(1+(Supuestos!$B$4*'Industria Automotriz'!$D$9))</f>
        <v>2.2864560064489261E-3</v>
      </c>
      <c r="E44" s="49">
        <f>+E43*(1+(Supuestos!$B$4*'Industria Automotriz'!$E$9))</f>
        <v>2.7971899064655353E-3</v>
      </c>
      <c r="G44" s="41">
        <v>2031</v>
      </c>
      <c r="H44" s="34">
        <f>+H43*(1+Supuestos!$B$4)</f>
        <v>193723.72550203101</v>
      </c>
      <c r="I44" s="34">
        <f>+I43*(1+(Supuestos!$B$4*'Industria Automotriz'!$D$9))</f>
        <v>169014.82799670467</v>
      </c>
      <c r="J44" s="34">
        <f>+J43*(1+(Supuestos!$B$4*'Industria Automotriz'!$E$9))</f>
        <v>216504.24420693406</v>
      </c>
      <c r="L44" s="1">
        <v>193723.72550203101</v>
      </c>
    </row>
    <row r="45" spans="2:12" x14ac:dyDescent="0.2">
      <c r="B45" s="41">
        <v>2032</v>
      </c>
      <c r="C45" s="49">
        <f>+C44*(1+Supuestos!$B$4)</f>
        <v>2.7441216353626999E-3</v>
      </c>
      <c r="D45" s="49">
        <f>+D44*(1+(Supuestos!$B$4*'Industria Automotriz'!$D$9))</f>
        <v>2.3402864559280267E-3</v>
      </c>
      <c r="E45" s="49">
        <f>+E44*(1+(Supuestos!$B$4*'Industria Automotriz'!$E$9))</f>
        <v>2.9947541581092385E-3</v>
      </c>
      <c r="G45" s="41">
        <v>2032</v>
      </c>
      <c r="H45" s="34">
        <f>+H44*(1+Supuestos!$B$4)</f>
        <v>202845.47128601072</v>
      </c>
      <c r="I45" s="34">
        <f>+I44*(1+(Supuestos!$B$4*'Industria Automotriz'!$D$9))</f>
        <v>172993.97482219979</v>
      </c>
      <c r="J45" s="34">
        <f>+J44*(1+(Supuestos!$B$4*'Industria Automotriz'!$E$9))</f>
        <v>231795.84056424969</v>
      </c>
      <c r="L45" s="1">
        <v>202845.47128601072</v>
      </c>
    </row>
    <row r="46" spans="2:12" x14ac:dyDescent="0.2">
      <c r="B46" s="41">
        <v>2033</v>
      </c>
      <c r="C46" s="49">
        <f>+C45*(1+Supuestos!$B$4)</f>
        <v>2.873332344547801E-3</v>
      </c>
      <c r="D46" s="49">
        <f>+D45*(1+(Supuestos!$B$4*'Industria Automotriz'!$D$9))</f>
        <v>2.3953842454665685E-3</v>
      </c>
      <c r="E46" s="49">
        <f>+E45*(1+(Supuestos!$B$4*'Industria Automotriz'!$E$9))</f>
        <v>3.2062722830446038E-3</v>
      </c>
      <c r="G46" s="41">
        <v>2033</v>
      </c>
      <c r="H46" s="34">
        <f>+H45*(1+Supuestos!$B$4)</f>
        <v>212396.72690897339</v>
      </c>
      <c r="I46" s="34">
        <f>+I45*(1+(Supuestos!$B$4*'Industria Automotriz'!$D$9))</f>
        <v>177066.80342488879</v>
      </c>
      <c r="J46" s="34">
        <f>+J45*(1+(Supuestos!$B$4*'Industria Automotriz'!$E$9))</f>
        <v>248167.47542155691</v>
      </c>
      <c r="L46" s="1">
        <v>212396.72690897339</v>
      </c>
    </row>
    <row r="47" spans="2:12" x14ac:dyDescent="0.2">
      <c r="B47" s="41">
        <v>2034</v>
      </c>
      <c r="C47" s="49">
        <f>+C46*(1+Supuestos!$B$4)</f>
        <v>3.0086271161713042E-3</v>
      </c>
      <c r="D47" s="49">
        <f>+D46*(1+(Supuestos!$B$4*'Industria Automotriz'!$D$9))</f>
        <v>2.4517792122819961E-3</v>
      </c>
      <c r="E47" s="49">
        <f>+E46*(1+(Supuestos!$B$4*'Industria Automotriz'!$E$9))</f>
        <v>3.4327298369995515E-3</v>
      </c>
      <c r="G47" s="41">
        <v>2034</v>
      </c>
      <c r="H47" s="34">
        <f>+H46*(1+Supuestos!$B$4)</f>
        <v>222397.71642738272</v>
      </c>
      <c r="I47" s="34">
        <f>+I46*(1+(Supuestos!$B$4*'Industria Automotriz'!$D$9))</f>
        <v>181235.5193718852</v>
      </c>
      <c r="J47" s="34">
        <f>+J46*(1+(Supuestos!$B$4*'Industria Automotriz'!$E$9))</f>
        <v>265695.43140718353</v>
      </c>
      <c r="L47" s="1">
        <v>222397.71642738272</v>
      </c>
    </row>
    <row r="48" spans="2:12" ht="16" thickBot="1" x14ac:dyDescent="0.25">
      <c r="B48" s="42">
        <v>2035</v>
      </c>
      <c r="C48" s="50">
        <f>+C47*(1+Supuestos!$B$4)</f>
        <v>3.1502924266095704E-3</v>
      </c>
      <c r="D48" s="50">
        <f>+D47*(1+(Supuestos!$B$4*'Industria Automotriz'!$D$9))</f>
        <v>2.5095018960547893E-3</v>
      </c>
      <c r="E48" s="50">
        <f>+E47*(1+(Supuestos!$B$4*'Industria Automotriz'!$E$9))</f>
        <v>3.6751819850550853E-3</v>
      </c>
      <c r="G48" s="42">
        <v>2035</v>
      </c>
      <c r="H48" s="35">
        <f>+H47*(1+Supuestos!$B$4)</f>
        <v>232869.61617497934</v>
      </c>
      <c r="I48" s="35">
        <f>+I47*(1+(Supuestos!$B$4*'Industria Automotriz'!$D$9))</f>
        <v>185502.38015637008</v>
      </c>
      <c r="J48" s="35">
        <f>+J47*(1+(Supuestos!$B$4*'Industria Automotriz'!$E$9))</f>
        <v>284461.37895682221</v>
      </c>
      <c r="L48" s="1">
        <v>232869.61617497934</v>
      </c>
    </row>
  </sheetData>
  <mergeCells count="16">
    <mergeCell ref="H36:H37"/>
    <mergeCell ref="I7:J7"/>
    <mergeCell ref="B22:B23"/>
    <mergeCell ref="C22:C23"/>
    <mergeCell ref="D22:E22"/>
    <mergeCell ref="G22:G23"/>
    <mergeCell ref="H22:H23"/>
    <mergeCell ref="I22:J22"/>
    <mergeCell ref="B36:B37"/>
    <mergeCell ref="C36:C37"/>
    <mergeCell ref="G36:G37"/>
    <mergeCell ref="D7:E7"/>
    <mergeCell ref="B7:B8"/>
    <mergeCell ref="C7:C8"/>
    <mergeCell ref="G7:G8"/>
    <mergeCell ref="H7:H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BC53-C335-4BFD-9996-836BFB1D7B61}">
  <dimension ref="A1:L46"/>
  <sheetViews>
    <sheetView workbookViewId="0">
      <selection activeCell="B26" sqref="B26"/>
    </sheetView>
  </sheetViews>
  <sheetFormatPr baseColWidth="10" defaultColWidth="11.5" defaultRowHeight="15" x14ac:dyDescent="0.2"/>
  <cols>
    <col min="1" max="1" width="45.5" style="1" bestFit="1" customWidth="1"/>
    <col min="2" max="3" width="12.83203125" style="1" bestFit="1" customWidth="1"/>
    <col min="4" max="7" width="12.6640625" style="1" bestFit="1" customWidth="1"/>
    <col min="8" max="11" width="11.5" style="1" bestFit="1" customWidth="1"/>
    <col min="12" max="12" width="12.5" style="1" bestFit="1" customWidth="1"/>
    <col min="13" max="14" width="11.5" style="1"/>
    <col min="15" max="15" width="19.1640625" style="1" bestFit="1" customWidth="1"/>
    <col min="16" max="16" width="11.5" style="1" customWidth="1"/>
    <col min="17" max="16384" width="11.5" style="1"/>
  </cols>
  <sheetData>
    <row r="1" spans="1:12" ht="16" x14ac:dyDescent="0.2">
      <c r="A1" s="51" t="s">
        <v>243</v>
      </c>
    </row>
    <row r="3" spans="1:12" x14ac:dyDescent="0.2">
      <c r="B3" s="1">
        <v>2025</v>
      </c>
      <c r="C3" s="1">
        <v>2026</v>
      </c>
      <c r="D3" s="1">
        <v>2027</v>
      </c>
      <c r="E3" s="1">
        <v>2028</v>
      </c>
      <c r="F3" s="1">
        <v>2029</v>
      </c>
      <c r="G3" s="1">
        <v>2030</v>
      </c>
      <c r="H3" s="1">
        <v>2031</v>
      </c>
      <c r="I3" s="1">
        <v>2032</v>
      </c>
      <c r="J3" s="1">
        <v>2033</v>
      </c>
      <c r="K3" s="1">
        <v>2034</v>
      </c>
      <c r="L3" s="1">
        <v>2035</v>
      </c>
    </row>
    <row r="4" spans="1:12" x14ac:dyDescent="0.2">
      <c r="A4" s="1" t="s">
        <v>244</v>
      </c>
    </row>
    <row r="7" spans="1:12" ht="16" x14ac:dyDescent="0.2">
      <c r="A7" s="51" t="s">
        <v>245</v>
      </c>
      <c r="B7" s="52">
        <f>+'Industria Automotriz'!H24</f>
        <v>108000</v>
      </c>
      <c r="C7" s="52">
        <f>+'Industria Automotriz'!H25</f>
        <v>113085.32727272727</v>
      </c>
      <c r="D7" s="52">
        <f>+'Industria Automotriz'!H26</f>
        <v>118410.10411462809</v>
      </c>
      <c r="E7" s="52">
        <f>+'Industria Automotriz'!H27</f>
        <v>123985.60533518915</v>
      </c>
      <c r="F7" s="52">
        <f>+'Industria Automotriz'!H28</f>
        <v>129823.63663367653</v>
      </c>
      <c r="G7" s="52">
        <f>+'Industria Automotriz'!H29</f>
        <v>135936.55959680496</v>
      </c>
      <c r="H7" s="52">
        <f>+'Industria Automotriz'!H30</f>
        <v>142337.31787345634</v>
      </c>
      <c r="I7" s="52">
        <f>+'Industria Automotriz'!H31</f>
        <v>149039.46458187059</v>
      </c>
      <c r="J7" s="52">
        <f>+'Industria Automotriz'!H32</f>
        <v>156057.19100734149</v>
      </c>
      <c r="K7" s="52">
        <f>+'Industria Automotriz'!H33</f>
        <v>163405.35665118264</v>
      </c>
      <c r="L7" s="52">
        <f>+'Industria Automotriz'!H34</f>
        <v>171099.52069458991</v>
      </c>
    </row>
    <row r="8" spans="1:12" x14ac:dyDescent="0.2">
      <c r="A8" s="1" t="s">
        <v>246</v>
      </c>
      <c r="B8" s="52">
        <f>+B7*0.8</f>
        <v>86400</v>
      </c>
      <c r="C8" s="52">
        <f t="shared" ref="C8:L8" si="0">+C7*0.8</f>
        <v>90468.261818181825</v>
      </c>
      <c r="D8" s="52">
        <f t="shared" si="0"/>
        <v>94728.083291702482</v>
      </c>
      <c r="E8" s="52">
        <f t="shared" si="0"/>
        <v>99188.484268151326</v>
      </c>
      <c r="F8" s="52">
        <f t="shared" si="0"/>
        <v>103858.90930694123</v>
      </c>
      <c r="G8" s="52">
        <f t="shared" si="0"/>
        <v>108749.24767744397</v>
      </c>
      <c r="H8" s="52">
        <f t="shared" si="0"/>
        <v>113869.85429876507</v>
      </c>
      <c r="I8" s="52">
        <f t="shared" si="0"/>
        <v>119231.57166549648</v>
      </c>
      <c r="J8" s="52">
        <f t="shared" si="0"/>
        <v>124845.7528058732</v>
      </c>
      <c r="K8" s="52">
        <f t="shared" si="0"/>
        <v>130724.28532094612</v>
      </c>
      <c r="L8" s="52">
        <f t="shared" si="0"/>
        <v>136879.61655567194</v>
      </c>
    </row>
    <row r="9" spans="1:12" ht="16" x14ac:dyDescent="0.2">
      <c r="A9" s="51" t="s">
        <v>247</v>
      </c>
      <c r="B9" s="53">
        <f>+B7-B8</f>
        <v>21600</v>
      </c>
      <c r="C9" s="53">
        <f t="shared" ref="C9:L9" si="1">+C7-C8</f>
        <v>22617.065454545445</v>
      </c>
      <c r="D9" s="53">
        <f t="shared" si="1"/>
        <v>23682.02082292561</v>
      </c>
      <c r="E9" s="53">
        <f t="shared" si="1"/>
        <v>24797.12106703782</v>
      </c>
      <c r="F9" s="53">
        <f t="shared" si="1"/>
        <v>25964.727326735301</v>
      </c>
      <c r="G9" s="53">
        <f t="shared" si="1"/>
        <v>27187.311919360989</v>
      </c>
      <c r="H9" s="53">
        <f t="shared" si="1"/>
        <v>28467.463574691268</v>
      </c>
      <c r="I9" s="53">
        <f t="shared" si="1"/>
        <v>29807.892916374112</v>
      </c>
      <c r="J9" s="53">
        <f t="shared" si="1"/>
        <v>31211.438201468292</v>
      </c>
      <c r="K9" s="53">
        <f t="shared" si="1"/>
        <v>32681.071330236518</v>
      </c>
      <c r="L9" s="53">
        <f t="shared" si="1"/>
        <v>34219.904138917977</v>
      </c>
    </row>
    <row r="10" spans="1:12" x14ac:dyDescent="0.2">
      <c r="A10" s="1" t="s">
        <v>248</v>
      </c>
      <c r="B10" s="52">
        <v>4000</v>
      </c>
      <c r="C10" s="52">
        <f>+B10*(1+Supuestos!$B$4)</f>
        <v>4188.3454545454542</v>
      </c>
      <c r="D10" s="52">
        <f>+C10*(1+Supuestos!$B$4)</f>
        <v>4385.5594116528919</v>
      </c>
      <c r="E10" s="52">
        <f>+D10*(1+Supuestos!$B$4)</f>
        <v>4592.0594568588567</v>
      </c>
      <c r="F10" s="52">
        <f>+E10*(1+Supuestos!$B$4)</f>
        <v>4808.2828382843154</v>
      </c>
      <c r="G10" s="52">
        <f>+F10*2</f>
        <v>9616.5656765686308</v>
      </c>
      <c r="H10" s="52">
        <f>+G10*(1+Supuestos!$B$4)</f>
        <v>10069.374784948515</v>
      </c>
      <c r="I10" s="52">
        <f>+H10*(1+Supuestos!$B$4)</f>
        <v>10543.505027663432</v>
      </c>
      <c r="J10" s="52">
        <f>+I10*(1+Supuestos!$B$4)</f>
        <v>11039.960339397821</v>
      </c>
      <c r="K10" s="52">
        <f>+J10*(1+Supuestos!$B$4)</f>
        <v>11559.791926469739</v>
      </c>
      <c r="L10" s="52">
        <f>+K10*(1+Supuestos!$B$4)</f>
        <v>12104.100492680194</v>
      </c>
    </row>
    <row r="11" spans="1:12" ht="16" x14ac:dyDescent="0.2">
      <c r="A11" s="51" t="s">
        <v>249</v>
      </c>
      <c r="B11" s="39">
        <f>+B9-B10</f>
        <v>17600</v>
      </c>
      <c r="C11" s="39">
        <f t="shared" ref="C11:L11" si="2">+C9-C10</f>
        <v>18428.71999999999</v>
      </c>
      <c r="D11" s="39">
        <f t="shared" si="2"/>
        <v>19296.461411272718</v>
      </c>
      <c r="E11" s="39">
        <f t="shared" si="2"/>
        <v>20205.061610178964</v>
      </c>
      <c r="F11" s="39">
        <f t="shared" si="2"/>
        <v>21156.444488450987</v>
      </c>
      <c r="G11" s="39">
        <f t="shared" si="2"/>
        <v>17570.74624279236</v>
      </c>
      <c r="H11" s="39">
        <f t="shared" si="2"/>
        <v>18398.088789742753</v>
      </c>
      <c r="I11" s="39">
        <f t="shared" si="2"/>
        <v>19264.38788871068</v>
      </c>
      <c r="J11" s="39">
        <f t="shared" si="2"/>
        <v>20171.477862070471</v>
      </c>
      <c r="K11" s="39">
        <f t="shared" si="2"/>
        <v>21121.279403766777</v>
      </c>
      <c r="L11" s="39">
        <f t="shared" si="2"/>
        <v>22115.803646237782</v>
      </c>
    </row>
    <row r="12" spans="1:12" x14ac:dyDescent="0.2">
      <c r="A12" s="1" t="s">
        <v>250</v>
      </c>
      <c r="B12" s="52">
        <f>+Supuestos!B11*Supuestos!B9</f>
        <v>3500</v>
      </c>
      <c r="C12" s="52">
        <f>+B12</f>
        <v>3500</v>
      </c>
      <c r="D12" s="52">
        <f t="shared" ref="D12:L12" si="3">+C12</f>
        <v>3500</v>
      </c>
      <c r="E12" s="52">
        <f t="shared" si="3"/>
        <v>3500</v>
      </c>
      <c r="F12" s="52">
        <f t="shared" si="3"/>
        <v>3500</v>
      </c>
      <c r="G12" s="52">
        <f t="shared" si="3"/>
        <v>3500</v>
      </c>
      <c r="H12" s="52">
        <f t="shared" si="3"/>
        <v>3500</v>
      </c>
      <c r="I12" s="52">
        <f t="shared" si="3"/>
        <v>3500</v>
      </c>
      <c r="J12" s="52">
        <f t="shared" si="3"/>
        <v>3500</v>
      </c>
      <c r="K12" s="52">
        <f t="shared" si="3"/>
        <v>3500</v>
      </c>
      <c r="L12" s="52">
        <f t="shared" si="3"/>
        <v>3500</v>
      </c>
    </row>
    <row r="13" spans="1:12" ht="16" x14ac:dyDescent="0.2">
      <c r="A13" s="51" t="s">
        <v>251</v>
      </c>
      <c r="B13" s="39">
        <f>+B11-B12</f>
        <v>14100</v>
      </c>
      <c r="C13" s="39">
        <f t="shared" ref="C13:L13" si="4">+C11-C12</f>
        <v>14928.71999999999</v>
      </c>
      <c r="D13" s="39">
        <f t="shared" si="4"/>
        <v>15796.461411272718</v>
      </c>
      <c r="E13" s="39">
        <f t="shared" si="4"/>
        <v>16705.061610178964</v>
      </c>
      <c r="F13" s="39">
        <f t="shared" si="4"/>
        <v>17656.444488450987</v>
      </c>
      <c r="G13" s="39">
        <f t="shared" si="4"/>
        <v>14070.74624279236</v>
      </c>
      <c r="H13" s="39">
        <f t="shared" si="4"/>
        <v>14898.088789742753</v>
      </c>
      <c r="I13" s="39">
        <f t="shared" si="4"/>
        <v>15764.38788871068</v>
      </c>
      <c r="J13" s="39">
        <f t="shared" si="4"/>
        <v>16671.477862070471</v>
      </c>
      <c r="K13" s="39">
        <f t="shared" si="4"/>
        <v>17621.279403766777</v>
      </c>
      <c r="L13" s="39">
        <f t="shared" si="4"/>
        <v>18615.803646237782</v>
      </c>
    </row>
    <row r="14" spans="1:12" x14ac:dyDescent="0.2">
      <c r="A14" s="1" t="s">
        <v>252</v>
      </c>
      <c r="B14" s="3">
        <v>0</v>
      </c>
      <c r="C14" s="3">
        <f ca="1">+B29*B31</f>
        <v>0</v>
      </c>
      <c r="D14" s="3">
        <f ca="1">+C14</f>
        <v>0</v>
      </c>
      <c r="E14" s="3">
        <f t="shared" ref="E14:L14" ca="1" si="5">+D14</f>
        <v>0</v>
      </c>
      <c r="F14" s="3">
        <f t="shared" ca="1" si="5"/>
        <v>0</v>
      </c>
      <c r="G14" s="3">
        <f t="shared" ca="1" si="5"/>
        <v>0</v>
      </c>
      <c r="H14" s="3">
        <v>0</v>
      </c>
      <c r="I14" s="3">
        <f t="shared" si="5"/>
        <v>0</v>
      </c>
      <c r="J14" s="3">
        <v>0</v>
      </c>
      <c r="K14" s="3">
        <v>0</v>
      </c>
      <c r="L14" s="3">
        <f t="shared" si="5"/>
        <v>0</v>
      </c>
    </row>
    <row r="15" spans="1:12" x14ac:dyDescent="0.2">
      <c r="A15" s="1" t="s">
        <v>253</v>
      </c>
      <c r="B15" s="39">
        <f>+B13-B14</f>
        <v>14100</v>
      </c>
      <c r="C15" s="39">
        <f t="shared" ref="C15:L15" ca="1" si="6">+C13-C14</f>
        <v>14928.71999999999</v>
      </c>
      <c r="D15" s="39">
        <f t="shared" ca="1" si="6"/>
        <v>15796.461411272718</v>
      </c>
      <c r="E15" s="39">
        <f t="shared" ca="1" si="6"/>
        <v>16705.061610178964</v>
      </c>
      <c r="F15" s="39">
        <f t="shared" ca="1" si="6"/>
        <v>17656.444488450987</v>
      </c>
      <c r="G15" s="39">
        <f t="shared" ca="1" si="6"/>
        <v>14070.74624279236</v>
      </c>
      <c r="H15" s="39">
        <f t="shared" si="6"/>
        <v>14898.088789742753</v>
      </c>
      <c r="I15" s="39">
        <f t="shared" si="6"/>
        <v>15764.38788871068</v>
      </c>
      <c r="J15" s="39">
        <f t="shared" si="6"/>
        <v>16671.477862070471</v>
      </c>
      <c r="K15" s="39">
        <f t="shared" si="6"/>
        <v>17621.279403766777</v>
      </c>
      <c r="L15" s="39">
        <f t="shared" si="6"/>
        <v>18615.803646237782</v>
      </c>
    </row>
    <row r="16" spans="1:12" x14ac:dyDescent="0.2">
      <c r="A16" s="1" t="s">
        <v>254</v>
      </c>
      <c r="B16" s="52">
        <f>+B15*0.3</f>
        <v>4230</v>
      </c>
      <c r="C16" s="52">
        <f t="shared" ref="C16:L16" ca="1" si="7">+C15*0.3</f>
        <v>4478.6159999999973</v>
      </c>
      <c r="D16" s="52">
        <f t="shared" ca="1" si="7"/>
        <v>4738.9384233818155</v>
      </c>
      <c r="E16" s="52">
        <f t="shared" ca="1" si="7"/>
        <v>5011.5184830536891</v>
      </c>
      <c r="F16" s="52">
        <f t="shared" ca="1" si="7"/>
        <v>5296.9333465352956</v>
      </c>
      <c r="G16" s="52">
        <f t="shared" ca="1" si="7"/>
        <v>4221.2238728377079</v>
      </c>
      <c r="H16" s="52">
        <f t="shared" si="7"/>
        <v>4469.4266369228253</v>
      </c>
      <c r="I16" s="52">
        <f t="shared" si="7"/>
        <v>4729.3163666132041</v>
      </c>
      <c r="J16" s="52">
        <f t="shared" si="7"/>
        <v>5001.4433586211408</v>
      </c>
      <c r="K16" s="52">
        <f t="shared" si="7"/>
        <v>5286.3838211300326</v>
      </c>
      <c r="L16" s="52">
        <f t="shared" si="7"/>
        <v>5584.7410938713347</v>
      </c>
    </row>
    <row r="17" spans="1:12" ht="16" x14ac:dyDescent="0.2">
      <c r="A17" s="51" t="s">
        <v>255</v>
      </c>
      <c r="B17" s="39">
        <f>+B15-B16</f>
        <v>9870</v>
      </c>
      <c r="C17" s="39">
        <f t="shared" ref="C17:L17" ca="1" si="8">+C15-C16</f>
        <v>10450.103999999992</v>
      </c>
      <c r="D17" s="39">
        <f t="shared" ca="1" si="8"/>
        <v>11057.522987890901</v>
      </c>
      <c r="E17" s="39">
        <f t="shared" ca="1" si="8"/>
        <v>11693.543127125275</v>
      </c>
      <c r="F17" s="39">
        <f t="shared" ca="1" si="8"/>
        <v>12359.511141915691</v>
      </c>
      <c r="G17" s="39">
        <f t="shared" ca="1" si="8"/>
        <v>9849.5223699546514</v>
      </c>
      <c r="H17" s="39">
        <f t="shared" si="8"/>
        <v>10428.662152819928</v>
      </c>
      <c r="I17" s="39">
        <f t="shared" si="8"/>
        <v>11035.071522097476</v>
      </c>
      <c r="J17" s="39">
        <f t="shared" si="8"/>
        <v>11670.034503449329</v>
      </c>
      <c r="K17" s="39">
        <f t="shared" si="8"/>
        <v>12334.895582636746</v>
      </c>
      <c r="L17" s="39">
        <f t="shared" si="8"/>
        <v>13031.062552366448</v>
      </c>
    </row>
    <row r="19" spans="1:12" x14ac:dyDescent="0.2">
      <c r="A19" s="1" t="s">
        <v>256</v>
      </c>
      <c r="B19" s="39">
        <f>+B12</f>
        <v>3500</v>
      </c>
      <c r="C19" s="39">
        <f t="shared" ref="C19:L19" si="9">+C12</f>
        <v>3500</v>
      </c>
      <c r="D19" s="39">
        <f t="shared" si="9"/>
        <v>3500</v>
      </c>
      <c r="E19" s="39">
        <f t="shared" si="9"/>
        <v>3500</v>
      </c>
      <c r="F19" s="39">
        <f t="shared" si="9"/>
        <v>3500</v>
      </c>
      <c r="G19" s="39">
        <f t="shared" si="9"/>
        <v>3500</v>
      </c>
      <c r="H19" s="39">
        <f t="shared" si="9"/>
        <v>3500</v>
      </c>
      <c r="I19" s="39">
        <f t="shared" si="9"/>
        <v>3500</v>
      </c>
      <c r="J19" s="39">
        <f t="shared" si="9"/>
        <v>3500</v>
      </c>
      <c r="K19" s="39">
        <f t="shared" si="9"/>
        <v>3500</v>
      </c>
      <c r="L19" s="39">
        <f t="shared" si="9"/>
        <v>3500</v>
      </c>
    </row>
    <row r="20" spans="1:12" hidden="1" x14ac:dyDescent="0.2">
      <c r="A20" s="1" t="s">
        <v>257</v>
      </c>
      <c r="C20" s="39"/>
    </row>
    <row r="21" spans="1:12" ht="16" x14ac:dyDescent="0.2">
      <c r="A21" s="51" t="s">
        <v>258</v>
      </c>
      <c r="B21" s="39">
        <f>+B17+B19-B20</f>
        <v>13370</v>
      </c>
      <c r="C21" s="39">
        <f ca="1">+C17+C19-C20</f>
        <v>13950.103999999992</v>
      </c>
      <c r="D21" s="39">
        <f t="shared" ref="D21:L21" ca="1" si="10">+D17+D19-D20</f>
        <v>14557.522987890901</v>
      </c>
      <c r="E21" s="39">
        <f t="shared" ca="1" si="10"/>
        <v>15193.543127125275</v>
      </c>
      <c r="F21" s="39">
        <f t="shared" ca="1" si="10"/>
        <v>15859.511141915691</v>
      </c>
      <c r="G21" s="39">
        <f t="shared" ca="1" si="10"/>
        <v>13349.522369954651</v>
      </c>
      <c r="H21" s="39">
        <f t="shared" si="10"/>
        <v>13928.662152819928</v>
      </c>
      <c r="I21" s="39">
        <f t="shared" si="10"/>
        <v>14535.071522097476</v>
      </c>
      <c r="J21" s="39">
        <f t="shared" si="10"/>
        <v>15170.034503449329</v>
      </c>
      <c r="K21" s="39">
        <f t="shared" si="10"/>
        <v>15834.895582636746</v>
      </c>
      <c r="L21" s="39">
        <f t="shared" si="10"/>
        <v>16531.062552366449</v>
      </c>
    </row>
    <row r="22" spans="1:12" x14ac:dyDescent="0.2">
      <c r="A22" s="1" t="s">
        <v>259</v>
      </c>
      <c r="B22" s="52"/>
      <c r="C22" s="52">
        <f ca="1">+B29/5+C14</f>
        <v>0</v>
      </c>
      <c r="D22" s="52">
        <f ca="1">+C22</f>
        <v>0</v>
      </c>
      <c r="E22" s="52">
        <f t="shared" ref="E22:L22" ca="1" si="11">+D22</f>
        <v>0</v>
      </c>
      <c r="F22" s="52">
        <f t="shared" ca="1" si="11"/>
        <v>0</v>
      </c>
      <c r="G22" s="52">
        <v>0</v>
      </c>
      <c r="H22" s="52">
        <v>0</v>
      </c>
      <c r="I22" s="52">
        <f t="shared" si="11"/>
        <v>0</v>
      </c>
      <c r="J22" s="52">
        <f t="shared" si="11"/>
        <v>0</v>
      </c>
      <c r="K22" s="52">
        <f t="shared" si="11"/>
        <v>0</v>
      </c>
      <c r="L22" s="52">
        <f t="shared" si="11"/>
        <v>0</v>
      </c>
    </row>
    <row r="24" spans="1:12" ht="16" x14ac:dyDescent="0.2">
      <c r="A24" s="51" t="s">
        <v>260</v>
      </c>
      <c r="B24" s="39">
        <f>+B21-B22</f>
        <v>13370</v>
      </c>
      <c r="C24" s="39">
        <f ca="1">+C21-C22</f>
        <v>13950.103999999992</v>
      </c>
      <c r="D24" s="39">
        <f t="shared" ref="D24:L24" ca="1" si="12">+D21-D22</f>
        <v>14557.522987890901</v>
      </c>
      <c r="E24" s="39">
        <f t="shared" ca="1" si="12"/>
        <v>15193.543127125275</v>
      </c>
      <c r="F24" s="39">
        <f t="shared" ca="1" si="12"/>
        <v>15859.511141915691</v>
      </c>
      <c r="G24" s="39">
        <f t="shared" ca="1" si="12"/>
        <v>13349.522369954651</v>
      </c>
      <c r="H24" s="39">
        <f t="shared" si="12"/>
        <v>13928.662152819928</v>
      </c>
      <c r="I24" s="39">
        <f t="shared" si="12"/>
        <v>14535.071522097476</v>
      </c>
      <c r="J24" s="39">
        <f t="shared" si="12"/>
        <v>15170.034503449329</v>
      </c>
      <c r="K24" s="39">
        <f t="shared" si="12"/>
        <v>15834.895582636746</v>
      </c>
      <c r="L24" s="39">
        <f t="shared" si="12"/>
        <v>16531.062552366449</v>
      </c>
    </row>
    <row r="28" spans="1:12" ht="16" x14ac:dyDescent="0.2">
      <c r="A28" s="51" t="s">
        <v>261</v>
      </c>
      <c r="B28" s="52">
        <v>0</v>
      </c>
      <c r="C28" s="52">
        <f ca="1">+B28+B29-C22</f>
        <v>0</v>
      </c>
      <c r="D28" s="52">
        <f t="shared" ref="D28:G28" ca="1" si="13">+C28+C29-D22</f>
        <v>0</v>
      </c>
      <c r="E28" s="52">
        <f t="shared" ca="1" si="13"/>
        <v>0</v>
      </c>
      <c r="F28" s="52">
        <f t="shared" ca="1" si="13"/>
        <v>0</v>
      </c>
      <c r="G28" s="52">
        <f t="shared" ca="1" si="13"/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</row>
    <row r="29" spans="1:12" s="55" customFormat="1" ht="16" x14ac:dyDescent="0.2">
      <c r="A29" s="54" t="s">
        <v>262</v>
      </c>
      <c r="B29" s="57">
        <v>0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</row>
    <row r="30" spans="1:12" x14ac:dyDescent="0.2">
      <c r="A30" s="1" t="s">
        <v>263</v>
      </c>
      <c r="B30" s="46">
        <f>+B28/B11</f>
        <v>0</v>
      </c>
      <c r="C30" s="46">
        <f t="shared" ref="C30:L30" ca="1" si="14">+C28/C11</f>
        <v>0</v>
      </c>
      <c r="D30" s="46">
        <f t="shared" ca="1" si="14"/>
        <v>0</v>
      </c>
      <c r="E30" s="46">
        <f t="shared" ca="1" si="14"/>
        <v>0</v>
      </c>
      <c r="F30" s="46">
        <f t="shared" ca="1" si="14"/>
        <v>0</v>
      </c>
      <c r="G30" s="46">
        <f t="shared" ca="1" si="14"/>
        <v>0</v>
      </c>
      <c r="H30" s="46">
        <f t="shared" si="14"/>
        <v>0</v>
      </c>
      <c r="I30" s="46">
        <f t="shared" si="14"/>
        <v>0</v>
      </c>
      <c r="J30" s="46">
        <f t="shared" si="14"/>
        <v>0</v>
      </c>
      <c r="K30" s="46">
        <f t="shared" si="14"/>
        <v>0</v>
      </c>
      <c r="L30" s="46">
        <f t="shared" si="14"/>
        <v>0</v>
      </c>
    </row>
    <row r="31" spans="1:12" x14ac:dyDescent="0.2">
      <c r="A31" s="1" t="s">
        <v>252</v>
      </c>
      <c r="B31" s="6">
        <f ca="1">+'EUR A MXN'!H7+Supuestos!B3</f>
        <v>4.228451971840845E-2</v>
      </c>
      <c r="C31" s="6">
        <f ca="1">+B31</f>
        <v>4.228451971840845E-2</v>
      </c>
      <c r="D31" s="6">
        <f t="shared" ref="D31:L31" ca="1" si="15">+C31</f>
        <v>4.228451971840845E-2</v>
      </c>
      <c r="E31" s="6">
        <f t="shared" ca="1" si="15"/>
        <v>4.228451971840845E-2</v>
      </c>
      <c r="F31" s="6">
        <f t="shared" ca="1" si="15"/>
        <v>4.228451971840845E-2</v>
      </c>
      <c r="G31" s="6">
        <f t="shared" ca="1" si="15"/>
        <v>4.228451971840845E-2</v>
      </c>
      <c r="H31" s="6">
        <f t="shared" ca="1" si="15"/>
        <v>4.228451971840845E-2</v>
      </c>
      <c r="I31" s="6">
        <f t="shared" ca="1" si="15"/>
        <v>4.228451971840845E-2</v>
      </c>
      <c r="J31" s="6">
        <f t="shared" ca="1" si="15"/>
        <v>4.228451971840845E-2</v>
      </c>
      <c r="K31" s="6">
        <f t="shared" ca="1" si="15"/>
        <v>4.228451971840845E-2</v>
      </c>
      <c r="L31" s="6">
        <f t="shared" ca="1" si="15"/>
        <v>4.228451971840845E-2</v>
      </c>
    </row>
    <row r="33" spans="1:12" x14ac:dyDescent="0.2">
      <c r="A33" s="1" t="s">
        <v>264</v>
      </c>
      <c r="B33" s="39">
        <f>-B24+B14+B22</f>
        <v>-13370</v>
      </c>
      <c r="C33" s="39">
        <f t="shared" ref="C33:L33" ca="1" si="16">-C24+C14+C22</f>
        <v>-13950.103999999992</v>
      </c>
      <c r="D33" s="39">
        <f t="shared" ca="1" si="16"/>
        <v>-14557.522987890901</v>
      </c>
      <c r="E33" s="39">
        <f t="shared" ca="1" si="16"/>
        <v>-15193.543127125275</v>
      </c>
      <c r="F33" s="39">
        <f t="shared" ca="1" si="16"/>
        <v>-15859.511141915691</v>
      </c>
      <c r="G33" s="39">
        <f t="shared" ca="1" si="16"/>
        <v>-13349.522369954651</v>
      </c>
      <c r="H33" s="39">
        <f t="shared" si="16"/>
        <v>-13928.662152819928</v>
      </c>
      <c r="I33" s="39">
        <f t="shared" si="16"/>
        <v>-14535.071522097476</v>
      </c>
      <c r="J33" s="39">
        <f t="shared" si="16"/>
        <v>-15170.034503449329</v>
      </c>
      <c r="K33" s="39">
        <f t="shared" si="16"/>
        <v>-15834.895582636746</v>
      </c>
      <c r="L33" s="39">
        <f t="shared" si="16"/>
        <v>-16531.062552366449</v>
      </c>
    </row>
    <row r="34" spans="1:12" ht="16" hidden="1" x14ac:dyDescent="0.2">
      <c r="A34" s="51" t="s">
        <v>265</v>
      </c>
      <c r="C34" s="39"/>
    </row>
    <row r="36" spans="1:12" ht="16" x14ac:dyDescent="0.2">
      <c r="A36" s="51" t="s">
        <v>266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9" spans="1:12" ht="16" x14ac:dyDescent="0.2">
      <c r="A39" s="51" t="s">
        <v>267</v>
      </c>
      <c r="B39" s="39">
        <f>+B24-B36</f>
        <v>13370</v>
      </c>
      <c r="C39" s="39">
        <f t="shared" ref="C39:L39" ca="1" si="17">+C24-C36</f>
        <v>13950.103999999992</v>
      </c>
      <c r="D39" s="39">
        <f t="shared" ca="1" si="17"/>
        <v>14557.522987890901</v>
      </c>
      <c r="E39" s="39">
        <f t="shared" ca="1" si="17"/>
        <v>15193.543127125275</v>
      </c>
      <c r="F39" s="39">
        <f t="shared" ca="1" si="17"/>
        <v>15859.511141915691</v>
      </c>
      <c r="G39" s="39">
        <f t="shared" ca="1" si="17"/>
        <v>13349.522369954651</v>
      </c>
      <c r="H39" s="39">
        <f t="shared" si="17"/>
        <v>13928.662152819928</v>
      </c>
      <c r="I39" s="39">
        <f t="shared" si="17"/>
        <v>14535.071522097476</v>
      </c>
      <c r="J39" s="39">
        <f t="shared" si="17"/>
        <v>15170.034503449329</v>
      </c>
      <c r="K39" s="39">
        <f t="shared" si="17"/>
        <v>15834.895582636746</v>
      </c>
      <c r="L39" s="39">
        <f t="shared" si="17"/>
        <v>16531.062552366449</v>
      </c>
    </row>
    <row r="40" spans="1:12" ht="16" x14ac:dyDescent="0.2">
      <c r="A40" s="51" t="s">
        <v>268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>
        <f>+L11*4</f>
        <v>88463.214584951129</v>
      </c>
    </row>
    <row r="41" spans="1:12" x14ac:dyDescent="0.2">
      <c r="A41" s="1" t="s">
        <v>269</v>
      </c>
      <c r="B41" s="52">
        <f>+B39+B40</f>
        <v>13370</v>
      </c>
      <c r="C41" s="52">
        <f t="shared" ref="C41:L41" ca="1" si="18">+C39+C40</f>
        <v>13950.103999999992</v>
      </c>
      <c r="D41" s="52">
        <f t="shared" ca="1" si="18"/>
        <v>14557.522987890901</v>
      </c>
      <c r="E41" s="52">
        <f t="shared" ca="1" si="18"/>
        <v>15193.543127125275</v>
      </c>
      <c r="F41" s="52">
        <f t="shared" ca="1" si="18"/>
        <v>15859.511141915691</v>
      </c>
      <c r="G41" s="52">
        <f t="shared" ca="1" si="18"/>
        <v>13349.522369954651</v>
      </c>
      <c r="H41" s="52">
        <f t="shared" si="18"/>
        <v>13928.662152819928</v>
      </c>
      <c r="I41" s="52">
        <f t="shared" si="18"/>
        <v>14535.071522097476</v>
      </c>
      <c r="J41" s="52">
        <f t="shared" si="18"/>
        <v>15170.034503449329</v>
      </c>
      <c r="K41" s="52">
        <f t="shared" si="18"/>
        <v>15834.895582636746</v>
      </c>
      <c r="L41" s="52">
        <f t="shared" si="18"/>
        <v>104994.27713731758</v>
      </c>
    </row>
    <row r="43" spans="1:12" ht="16" x14ac:dyDescent="0.2">
      <c r="A43" s="51" t="s">
        <v>270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6" spans="1:12" ht="16" x14ac:dyDescent="0.2">
      <c r="A46" s="51" t="s">
        <v>271</v>
      </c>
      <c r="B46" s="4" t="e">
        <f ca="1">IRR(B41:L41)</f>
        <v>#NUM!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6ACD-A2A3-4E97-9475-F97A6A685A69}">
  <dimension ref="A1:P53"/>
  <sheetViews>
    <sheetView workbookViewId="0">
      <selection activeCell="E45" sqref="E45"/>
    </sheetView>
  </sheetViews>
  <sheetFormatPr baseColWidth="10" defaultColWidth="11.5" defaultRowHeight="15" x14ac:dyDescent="0.2"/>
  <cols>
    <col min="1" max="1" width="45.5" style="1" bestFit="1" customWidth="1"/>
    <col min="2" max="3" width="12.6640625" style="1" bestFit="1" customWidth="1"/>
    <col min="4" max="7" width="12.5" style="1" bestFit="1" customWidth="1"/>
    <col min="8" max="14" width="11.5" style="1"/>
    <col min="15" max="15" width="19.1640625" style="1" bestFit="1" customWidth="1"/>
    <col min="16" max="16" width="11.5" style="1" customWidth="1"/>
    <col min="17" max="16384" width="11.5" style="1"/>
  </cols>
  <sheetData>
    <row r="1" spans="1:16" ht="16" x14ac:dyDescent="0.2">
      <c r="A1" s="51" t="s">
        <v>243</v>
      </c>
    </row>
    <row r="3" spans="1:16" x14ac:dyDescent="0.2">
      <c r="B3" s="1">
        <v>2025</v>
      </c>
      <c r="C3" s="1">
        <v>2026</v>
      </c>
      <c r="D3" s="1">
        <v>2027</v>
      </c>
      <c r="E3" s="1">
        <v>2028</v>
      </c>
      <c r="F3" s="1">
        <v>2029</v>
      </c>
      <c r="G3" s="1">
        <v>2030</v>
      </c>
      <c r="H3" s="1">
        <v>2031</v>
      </c>
      <c r="I3" s="1">
        <v>2032</v>
      </c>
      <c r="J3" s="1">
        <v>2033</v>
      </c>
      <c r="K3" s="1">
        <v>2034</v>
      </c>
      <c r="L3" s="1">
        <v>2035</v>
      </c>
      <c r="O3" s="1" t="s">
        <v>277</v>
      </c>
      <c r="P3" s="1">
        <v>1114</v>
      </c>
    </row>
    <row r="4" spans="1:16" x14ac:dyDescent="0.2">
      <c r="A4" s="1" t="s">
        <v>244</v>
      </c>
    </row>
    <row r="7" spans="1:16" ht="16" x14ac:dyDescent="0.2">
      <c r="A7" s="51" t="s">
        <v>245</v>
      </c>
      <c r="B7" s="52">
        <f>+'Industria Automotriz'!H38</f>
        <v>146990.00000000003</v>
      </c>
      <c r="C7" s="52">
        <f>+'Industria Automotriz'!H39</f>
        <v>153911.22459090911</v>
      </c>
      <c r="D7" s="52">
        <f>+'Industria Automotriz'!H40</f>
        <v>161158.34447971469</v>
      </c>
      <c r="E7" s="52">
        <f>+'Industria Automotriz'!H41</f>
        <v>168746.7048909209</v>
      </c>
      <c r="F7" s="52">
        <f>+'Industria Automotriz'!H42</f>
        <v>176692.37359985293</v>
      </c>
      <c r="G7" s="52">
        <f>+'Industria Automotriz'!H43</f>
        <v>185012.17495494781</v>
      </c>
      <c r="H7" s="52">
        <f>+'Industria Automotriz'!H44</f>
        <v>193723.72550203101</v>
      </c>
      <c r="I7" s="52">
        <f>+'Industria Automotriz'!H45</f>
        <v>202845.47128601072</v>
      </c>
      <c r="J7" s="52">
        <f>+'Industria Automotriz'!H46</f>
        <v>212396.72690897339</v>
      </c>
      <c r="K7" s="52">
        <f>+'Industria Automotriz'!H47</f>
        <v>222397.71642738272</v>
      </c>
      <c r="L7" s="52">
        <f>+'Industria Automotriz'!H48</f>
        <v>232869.61617497934</v>
      </c>
    </row>
    <row r="8" spans="1:16" x14ac:dyDescent="0.2">
      <c r="A8" s="1" t="s">
        <v>246</v>
      </c>
      <c r="B8" s="52">
        <f>+B7*0.8</f>
        <v>117592.00000000003</v>
      </c>
      <c r="C8" s="52">
        <f t="shared" ref="C8:L8" si="0">+C7*0.8</f>
        <v>123128.97967272729</v>
      </c>
      <c r="D8" s="52">
        <f t="shared" si="0"/>
        <v>128926.67558377176</v>
      </c>
      <c r="E8" s="52">
        <f t="shared" si="0"/>
        <v>134997.36391273674</v>
      </c>
      <c r="F8" s="52">
        <f t="shared" si="0"/>
        <v>141353.89887988236</v>
      </c>
      <c r="G8" s="52">
        <f t="shared" si="0"/>
        <v>148009.73996395824</v>
      </c>
      <c r="H8" s="52">
        <f t="shared" si="0"/>
        <v>154978.98040162481</v>
      </c>
      <c r="I8" s="52">
        <f t="shared" si="0"/>
        <v>162276.37702880858</v>
      </c>
      <c r="J8" s="52">
        <f t="shared" si="0"/>
        <v>169917.38152717872</v>
      </c>
      <c r="K8" s="52">
        <f t="shared" si="0"/>
        <v>177918.17314190618</v>
      </c>
      <c r="L8" s="52">
        <f t="shared" si="0"/>
        <v>186295.69293998348</v>
      </c>
    </row>
    <row r="9" spans="1:16" ht="16" x14ac:dyDescent="0.2">
      <c r="A9" s="51" t="s">
        <v>247</v>
      </c>
      <c r="B9" s="53">
        <f>+B7-B8</f>
        <v>29398</v>
      </c>
      <c r="C9" s="53">
        <f t="shared" ref="C9:L9" si="1">+C7-C8</f>
        <v>30782.244918181823</v>
      </c>
      <c r="D9" s="53">
        <f t="shared" si="1"/>
        <v>32231.66889594293</v>
      </c>
      <c r="E9" s="53">
        <f t="shared" si="1"/>
        <v>33749.340978184162</v>
      </c>
      <c r="F9" s="53">
        <f t="shared" si="1"/>
        <v>35338.474719970574</v>
      </c>
      <c r="G9" s="53">
        <f t="shared" si="1"/>
        <v>37002.434990989568</v>
      </c>
      <c r="H9" s="53">
        <f t="shared" si="1"/>
        <v>38744.745100406202</v>
      </c>
      <c r="I9" s="53">
        <f t="shared" si="1"/>
        <v>40569.094257202145</v>
      </c>
      <c r="J9" s="53">
        <f t="shared" si="1"/>
        <v>42479.345381794672</v>
      </c>
      <c r="K9" s="53">
        <f t="shared" si="1"/>
        <v>44479.543285476539</v>
      </c>
      <c r="L9" s="53">
        <f t="shared" si="1"/>
        <v>46573.923234995862</v>
      </c>
    </row>
    <row r="10" spans="1:16" x14ac:dyDescent="0.2">
      <c r="A10" s="1" t="s">
        <v>248</v>
      </c>
      <c r="B10" s="52">
        <v>4000</v>
      </c>
      <c r="C10" s="52">
        <f>+B10*(1+Supuestos!$B$4)</f>
        <v>4188.3454545454542</v>
      </c>
      <c r="D10" s="52">
        <f>+C10*(1+Supuestos!$B$4)</f>
        <v>4385.5594116528919</v>
      </c>
      <c r="E10" s="52">
        <f>+D10*(1+Supuestos!$B$4)</f>
        <v>4592.0594568588567</v>
      </c>
      <c r="F10" s="52">
        <f>+E10*(1+Supuestos!$B$4)</f>
        <v>4808.2828382843154</v>
      </c>
      <c r="G10" s="52">
        <f>+F10*2</f>
        <v>9616.5656765686308</v>
      </c>
      <c r="H10" s="52">
        <f>+G10*(1+Supuestos!$B$4)</f>
        <v>10069.374784948515</v>
      </c>
      <c r="I10" s="52">
        <f>+H10*(1+Supuestos!$B$4)</f>
        <v>10543.505027663432</v>
      </c>
      <c r="J10" s="52">
        <f>+I10*(1+Supuestos!$B$4)</f>
        <v>11039.960339397821</v>
      </c>
      <c r="K10" s="52">
        <f>+J10*(1+Supuestos!$B$4)</f>
        <v>11559.791926469739</v>
      </c>
      <c r="L10" s="52">
        <f>+K10*(1+Supuestos!$B$4)</f>
        <v>12104.100492680194</v>
      </c>
    </row>
    <row r="11" spans="1:16" ht="16" x14ac:dyDescent="0.2">
      <c r="A11" s="51" t="s">
        <v>249</v>
      </c>
      <c r="B11" s="39">
        <f>+B9-B10</f>
        <v>25398</v>
      </c>
      <c r="C11" s="39">
        <f t="shared" ref="C11:L11" si="2">+C9-C10</f>
        <v>26593.899463636368</v>
      </c>
      <c r="D11" s="39">
        <f t="shared" si="2"/>
        <v>27846.109484290038</v>
      </c>
      <c r="E11" s="39">
        <f t="shared" si="2"/>
        <v>29157.281521325305</v>
      </c>
      <c r="F11" s="39">
        <f t="shared" si="2"/>
        <v>30530.19188168626</v>
      </c>
      <c r="G11" s="39">
        <f t="shared" si="2"/>
        <v>27385.869314420939</v>
      </c>
      <c r="H11" s="39">
        <f t="shared" si="2"/>
        <v>28675.370315457687</v>
      </c>
      <c r="I11" s="39">
        <f t="shared" si="2"/>
        <v>30025.589229538713</v>
      </c>
      <c r="J11" s="39">
        <f t="shared" si="2"/>
        <v>31439.385042396851</v>
      </c>
      <c r="K11" s="39">
        <f t="shared" si="2"/>
        <v>32919.751359006797</v>
      </c>
      <c r="L11" s="39">
        <f t="shared" si="2"/>
        <v>34469.822742315664</v>
      </c>
    </row>
    <row r="12" spans="1:16" x14ac:dyDescent="0.2">
      <c r="A12" s="1" t="s">
        <v>250</v>
      </c>
      <c r="B12" s="52">
        <f>+Supuestos!B11*Supuestos!B9</f>
        <v>3500</v>
      </c>
      <c r="C12" s="52">
        <f>+B12</f>
        <v>3500</v>
      </c>
      <c r="D12" s="52">
        <f t="shared" ref="D12:L12" si="3">+C12</f>
        <v>3500</v>
      </c>
      <c r="E12" s="52">
        <f t="shared" si="3"/>
        <v>3500</v>
      </c>
      <c r="F12" s="52">
        <f t="shared" si="3"/>
        <v>3500</v>
      </c>
      <c r="G12" s="52">
        <f t="shared" si="3"/>
        <v>3500</v>
      </c>
      <c r="H12" s="52">
        <f t="shared" si="3"/>
        <v>3500</v>
      </c>
      <c r="I12" s="52">
        <f t="shared" si="3"/>
        <v>3500</v>
      </c>
      <c r="J12" s="52">
        <f t="shared" si="3"/>
        <v>3500</v>
      </c>
      <c r="K12" s="52">
        <f t="shared" si="3"/>
        <v>3500</v>
      </c>
      <c r="L12" s="52">
        <f t="shared" si="3"/>
        <v>3500</v>
      </c>
    </row>
    <row r="13" spans="1:16" ht="16" x14ac:dyDescent="0.2">
      <c r="A13" s="51" t="s">
        <v>251</v>
      </c>
      <c r="B13" s="39">
        <f>+B11-B12</f>
        <v>21898</v>
      </c>
      <c r="C13" s="39">
        <f t="shared" ref="C13:L13" si="4">+C11-C12</f>
        <v>23093.899463636368</v>
      </c>
      <c r="D13" s="39">
        <f t="shared" si="4"/>
        <v>24346.109484290038</v>
      </c>
      <c r="E13" s="39">
        <f t="shared" si="4"/>
        <v>25657.281521325305</v>
      </c>
      <c r="F13" s="39">
        <f t="shared" si="4"/>
        <v>27030.19188168626</v>
      </c>
      <c r="G13" s="39">
        <f t="shared" si="4"/>
        <v>23885.869314420939</v>
      </c>
      <c r="H13" s="39">
        <f t="shared" si="4"/>
        <v>25175.370315457687</v>
      </c>
      <c r="I13" s="39">
        <f t="shared" si="4"/>
        <v>26525.589229538713</v>
      </c>
      <c r="J13" s="39">
        <f t="shared" si="4"/>
        <v>27939.385042396851</v>
      </c>
      <c r="K13" s="39">
        <f t="shared" si="4"/>
        <v>29419.751359006797</v>
      </c>
      <c r="L13" s="39">
        <f t="shared" si="4"/>
        <v>30969.822742315664</v>
      </c>
    </row>
    <row r="14" spans="1:16" x14ac:dyDescent="0.2">
      <c r="A14" s="1" t="s">
        <v>252</v>
      </c>
      <c r="B14" s="3">
        <v>0</v>
      </c>
      <c r="C14" s="3">
        <f ca="1">+B29*B31</f>
        <v>1789.9882887196666</v>
      </c>
      <c r="D14" s="3">
        <f ca="1">+C14</f>
        <v>1789.9882887196666</v>
      </c>
      <c r="E14" s="3">
        <f t="shared" ref="E14:L14" ca="1" si="5">+D14</f>
        <v>1789.9882887196666</v>
      </c>
      <c r="F14" s="3">
        <f t="shared" ca="1" si="5"/>
        <v>1789.9882887196666</v>
      </c>
      <c r="G14" s="3">
        <f t="shared" ca="1" si="5"/>
        <v>1789.9882887196666</v>
      </c>
      <c r="H14" s="3">
        <v>0</v>
      </c>
      <c r="I14" s="3">
        <f t="shared" si="5"/>
        <v>0</v>
      </c>
      <c r="J14" s="3">
        <v>0</v>
      </c>
      <c r="K14" s="3">
        <v>0</v>
      </c>
      <c r="L14" s="3">
        <f t="shared" si="5"/>
        <v>0</v>
      </c>
    </row>
    <row r="15" spans="1:16" x14ac:dyDescent="0.2">
      <c r="A15" s="1" t="s">
        <v>253</v>
      </c>
      <c r="B15" s="39">
        <f>+B13-B14</f>
        <v>21898</v>
      </c>
      <c r="C15" s="39">
        <f t="shared" ref="C15:L15" ca="1" si="6">+C13-C14</f>
        <v>21303.911174916702</v>
      </c>
      <c r="D15" s="39">
        <f t="shared" ca="1" si="6"/>
        <v>22556.121195570373</v>
      </c>
      <c r="E15" s="39">
        <f t="shared" ca="1" si="6"/>
        <v>23867.29323260564</v>
      </c>
      <c r="F15" s="39">
        <f t="shared" ca="1" si="6"/>
        <v>25240.203592966594</v>
      </c>
      <c r="G15" s="39">
        <f t="shared" ca="1" si="6"/>
        <v>22095.881025701274</v>
      </c>
      <c r="H15" s="39">
        <f t="shared" si="6"/>
        <v>25175.370315457687</v>
      </c>
      <c r="I15" s="39">
        <f t="shared" si="6"/>
        <v>26525.589229538713</v>
      </c>
      <c r="J15" s="39">
        <f t="shared" si="6"/>
        <v>27939.385042396851</v>
      </c>
      <c r="K15" s="39">
        <f t="shared" si="6"/>
        <v>29419.751359006797</v>
      </c>
      <c r="L15" s="39">
        <f t="shared" si="6"/>
        <v>30969.822742315664</v>
      </c>
    </row>
    <row r="16" spans="1:16" x14ac:dyDescent="0.2">
      <c r="A16" s="1" t="s">
        <v>254</v>
      </c>
      <c r="B16" s="52">
        <f>+B15*0.3</f>
        <v>6569.4</v>
      </c>
      <c r="C16" s="52">
        <f t="shared" ref="C16:L16" ca="1" si="7">+C15*0.3</f>
        <v>6391.1733524750107</v>
      </c>
      <c r="D16" s="52">
        <f t="shared" ca="1" si="7"/>
        <v>6766.8363586711121</v>
      </c>
      <c r="E16" s="52">
        <f t="shared" ca="1" si="7"/>
        <v>7160.1879697816921</v>
      </c>
      <c r="F16" s="52">
        <f t="shared" ca="1" si="7"/>
        <v>7572.0610778899782</v>
      </c>
      <c r="G16" s="52">
        <f t="shared" ca="1" si="7"/>
        <v>6628.7643077103821</v>
      </c>
      <c r="H16" s="52">
        <f t="shared" si="7"/>
        <v>7552.6110946373055</v>
      </c>
      <c r="I16" s="52">
        <f t="shared" si="7"/>
        <v>7957.6767688616137</v>
      </c>
      <c r="J16" s="52">
        <f t="shared" si="7"/>
        <v>8381.8155127190548</v>
      </c>
      <c r="K16" s="52">
        <f t="shared" si="7"/>
        <v>8825.9254077020396</v>
      </c>
      <c r="L16" s="52">
        <f t="shared" si="7"/>
        <v>9290.9468226946992</v>
      </c>
    </row>
    <row r="17" spans="1:12" ht="16" x14ac:dyDescent="0.2">
      <c r="A17" s="51" t="s">
        <v>255</v>
      </c>
      <c r="B17" s="39">
        <f>+B15-B16</f>
        <v>15328.6</v>
      </c>
      <c r="C17" s="39">
        <f t="shared" ref="C17:L17" ca="1" si="8">+C15-C16</f>
        <v>14912.737822441692</v>
      </c>
      <c r="D17" s="39">
        <f t="shared" ca="1" si="8"/>
        <v>15789.28483689926</v>
      </c>
      <c r="E17" s="39">
        <f t="shared" ca="1" si="8"/>
        <v>16707.105262823949</v>
      </c>
      <c r="F17" s="39">
        <f t="shared" ca="1" si="8"/>
        <v>17668.142515076615</v>
      </c>
      <c r="G17" s="39">
        <f t="shared" ca="1" si="8"/>
        <v>15467.116717990892</v>
      </c>
      <c r="H17" s="39">
        <f t="shared" si="8"/>
        <v>17622.759220820382</v>
      </c>
      <c r="I17" s="39">
        <f t="shared" si="8"/>
        <v>18567.9124606771</v>
      </c>
      <c r="J17" s="39">
        <f t="shared" si="8"/>
        <v>19557.569529677796</v>
      </c>
      <c r="K17" s="39">
        <f t="shared" si="8"/>
        <v>20593.82595130476</v>
      </c>
      <c r="L17" s="39">
        <f t="shared" si="8"/>
        <v>21678.875919620965</v>
      </c>
    </row>
    <row r="19" spans="1:12" x14ac:dyDescent="0.2">
      <c r="A19" s="1" t="s">
        <v>256</v>
      </c>
      <c r="B19" s="39">
        <f>+B12</f>
        <v>3500</v>
      </c>
      <c r="C19" s="39">
        <f t="shared" ref="C19:L19" si="9">+C12</f>
        <v>3500</v>
      </c>
      <c r="D19" s="39">
        <f t="shared" si="9"/>
        <v>3500</v>
      </c>
      <c r="E19" s="39">
        <f t="shared" si="9"/>
        <v>3500</v>
      </c>
      <c r="F19" s="39">
        <f t="shared" si="9"/>
        <v>3500</v>
      </c>
      <c r="G19" s="39">
        <f t="shared" si="9"/>
        <v>3500</v>
      </c>
      <c r="H19" s="39">
        <f t="shared" si="9"/>
        <v>3500</v>
      </c>
      <c r="I19" s="39">
        <f t="shared" si="9"/>
        <v>3500</v>
      </c>
      <c r="J19" s="39">
        <f t="shared" si="9"/>
        <v>3500</v>
      </c>
      <c r="K19" s="39">
        <f t="shared" si="9"/>
        <v>3500</v>
      </c>
      <c r="L19" s="39">
        <f t="shared" si="9"/>
        <v>3500</v>
      </c>
    </row>
    <row r="20" spans="1:12" hidden="1" x14ac:dyDescent="0.2">
      <c r="A20" s="1" t="s">
        <v>257</v>
      </c>
      <c r="C20" s="39"/>
    </row>
    <row r="21" spans="1:12" ht="16" x14ac:dyDescent="0.2">
      <c r="A21" s="51" t="s">
        <v>258</v>
      </c>
      <c r="B21" s="39">
        <f>+B17+B19-B20</f>
        <v>18828.599999999999</v>
      </c>
      <c r="C21" s="39">
        <f ca="1">+C17+C19-C20</f>
        <v>18412.73782244169</v>
      </c>
      <c r="D21" s="39">
        <f t="shared" ref="D21:L21" ca="1" si="10">+D17+D19-D20</f>
        <v>19289.28483689926</v>
      </c>
      <c r="E21" s="39">
        <f t="shared" ca="1" si="10"/>
        <v>20207.105262823949</v>
      </c>
      <c r="F21" s="39">
        <f t="shared" ca="1" si="10"/>
        <v>21168.142515076615</v>
      </c>
      <c r="G21" s="39">
        <f t="shared" ca="1" si="10"/>
        <v>18967.116717990892</v>
      </c>
      <c r="H21" s="39">
        <f t="shared" si="10"/>
        <v>21122.759220820382</v>
      </c>
      <c r="I21" s="39">
        <f t="shared" si="10"/>
        <v>22067.9124606771</v>
      </c>
      <c r="J21" s="39">
        <f t="shared" si="10"/>
        <v>23057.569529677796</v>
      </c>
      <c r="K21" s="39">
        <f t="shared" si="10"/>
        <v>24093.82595130476</v>
      </c>
      <c r="L21" s="39">
        <f t="shared" si="10"/>
        <v>25178.875919620965</v>
      </c>
    </row>
    <row r="22" spans="1:12" x14ac:dyDescent="0.2">
      <c r="A22" s="1" t="s">
        <v>259</v>
      </c>
      <c r="B22" s="52"/>
      <c r="C22" s="52">
        <f ca="1">+B29/5+C14</f>
        <v>10256.388288719667</v>
      </c>
      <c r="D22" s="52">
        <f ca="1">+C22</f>
        <v>10256.388288719667</v>
      </c>
      <c r="E22" s="52">
        <f t="shared" ref="E22:L22" ca="1" si="11">+D22</f>
        <v>10256.388288719667</v>
      </c>
      <c r="F22" s="52">
        <f t="shared" ca="1" si="11"/>
        <v>10256.388288719667</v>
      </c>
      <c r="G22" s="52">
        <v>1162</v>
      </c>
      <c r="H22" s="52">
        <v>0</v>
      </c>
      <c r="I22" s="52">
        <f t="shared" si="11"/>
        <v>0</v>
      </c>
      <c r="J22" s="52">
        <f t="shared" si="11"/>
        <v>0</v>
      </c>
      <c r="K22" s="52">
        <f t="shared" si="11"/>
        <v>0</v>
      </c>
      <c r="L22" s="52">
        <f t="shared" si="11"/>
        <v>0</v>
      </c>
    </row>
    <row r="24" spans="1:12" ht="16" x14ac:dyDescent="0.2">
      <c r="A24" s="51" t="s">
        <v>260</v>
      </c>
      <c r="B24" s="39">
        <f>+B21-B22</f>
        <v>18828.599999999999</v>
      </c>
      <c r="C24" s="39">
        <f ca="1">+C21-C22</f>
        <v>8156.3495337220229</v>
      </c>
      <c r="D24" s="39">
        <f t="shared" ref="D24:L24" ca="1" si="12">+D21-D22</f>
        <v>9032.8965481795931</v>
      </c>
      <c r="E24" s="39">
        <f t="shared" ca="1" si="12"/>
        <v>9950.7169741042817</v>
      </c>
      <c r="F24" s="39">
        <f t="shared" ca="1" si="12"/>
        <v>10911.754226356948</v>
      </c>
      <c r="G24" s="39">
        <f t="shared" ca="1" si="12"/>
        <v>17805.116717990892</v>
      </c>
      <c r="H24" s="39">
        <f t="shared" si="12"/>
        <v>21122.759220820382</v>
      </c>
      <c r="I24" s="39">
        <f t="shared" si="12"/>
        <v>22067.9124606771</v>
      </c>
      <c r="J24" s="39">
        <f t="shared" si="12"/>
        <v>23057.569529677796</v>
      </c>
      <c r="K24" s="39">
        <f t="shared" si="12"/>
        <v>24093.82595130476</v>
      </c>
      <c r="L24" s="39">
        <f t="shared" si="12"/>
        <v>25178.875919620965</v>
      </c>
    </row>
    <row r="28" spans="1:12" ht="16" x14ac:dyDescent="0.2">
      <c r="A28" s="51" t="s">
        <v>261</v>
      </c>
      <c r="B28" s="52">
        <v>0</v>
      </c>
      <c r="C28" s="52">
        <f ca="1">+B28+B29-C22</f>
        <v>32075.611711280333</v>
      </c>
      <c r="D28" s="52">
        <f t="shared" ref="D28:G28" ca="1" si="13">+C28+C29-D22</f>
        <v>21819.223422560666</v>
      </c>
      <c r="E28" s="52">
        <f t="shared" ca="1" si="13"/>
        <v>11562.835133840999</v>
      </c>
      <c r="F28" s="52">
        <f t="shared" ca="1" si="13"/>
        <v>1306.4468451213324</v>
      </c>
      <c r="G28" s="52">
        <f t="shared" ca="1" si="13"/>
        <v>144.44684512133244</v>
      </c>
      <c r="H28" s="52"/>
      <c r="I28" s="52"/>
      <c r="J28" s="52"/>
      <c r="K28" s="52"/>
      <c r="L28" s="52"/>
    </row>
    <row r="29" spans="1:12" s="55" customFormat="1" ht="16" x14ac:dyDescent="0.2">
      <c r="A29" s="54" t="s">
        <v>262</v>
      </c>
      <c r="B29" s="57">
        <f>+('Datos Proporcionados CL Circula'!B2+'Datos Proporcionados CL Circula'!B5)*'Con finacimiento'!P3</f>
        <v>42332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</row>
    <row r="30" spans="1:12" x14ac:dyDescent="0.2">
      <c r="A30" s="1" t="s">
        <v>263</v>
      </c>
      <c r="B30" s="46">
        <f>+B28/B11</f>
        <v>0</v>
      </c>
      <c r="C30" s="46">
        <f t="shared" ref="C30:L30" ca="1" si="14">+C28/C11</f>
        <v>1.2061266816150629</v>
      </c>
      <c r="D30" s="46">
        <f t="shared" ca="1" si="14"/>
        <v>0.78356452038193825</v>
      </c>
      <c r="E30" s="46">
        <f t="shared" ca="1" si="14"/>
        <v>0.39656766785285086</v>
      </c>
      <c r="F30" s="46">
        <f t="shared" ca="1" si="14"/>
        <v>4.27919631224137E-2</v>
      </c>
      <c r="G30" s="46">
        <f t="shared" ca="1" si="14"/>
        <v>5.274502827093722E-3</v>
      </c>
      <c r="H30" s="46">
        <f t="shared" si="14"/>
        <v>0</v>
      </c>
      <c r="I30" s="46">
        <f t="shared" si="14"/>
        <v>0</v>
      </c>
      <c r="J30" s="46">
        <f t="shared" si="14"/>
        <v>0</v>
      </c>
      <c r="K30" s="46">
        <f t="shared" si="14"/>
        <v>0</v>
      </c>
      <c r="L30" s="46">
        <f t="shared" si="14"/>
        <v>0</v>
      </c>
    </row>
    <row r="31" spans="1:12" x14ac:dyDescent="0.2">
      <c r="A31" s="1" t="s">
        <v>252</v>
      </c>
      <c r="B31" s="6">
        <f ca="1">+'EUR A MXN'!H7+Supuestos!B3</f>
        <v>4.228451971840845E-2</v>
      </c>
      <c r="C31" s="6">
        <f ca="1">+B31</f>
        <v>4.228451971840845E-2</v>
      </c>
      <c r="D31" s="6">
        <f t="shared" ref="D31:L31" ca="1" si="15">+C31</f>
        <v>4.228451971840845E-2</v>
      </c>
      <c r="E31" s="6">
        <f t="shared" ca="1" si="15"/>
        <v>4.228451971840845E-2</v>
      </c>
      <c r="F31" s="6">
        <f t="shared" ca="1" si="15"/>
        <v>4.228451971840845E-2</v>
      </c>
      <c r="G31" s="6">
        <f t="shared" ca="1" si="15"/>
        <v>4.228451971840845E-2</v>
      </c>
      <c r="H31" s="6">
        <f t="shared" ca="1" si="15"/>
        <v>4.228451971840845E-2</v>
      </c>
      <c r="I31" s="6">
        <f t="shared" ca="1" si="15"/>
        <v>4.228451971840845E-2</v>
      </c>
      <c r="J31" s="6">
        <f t="shared" ca="1" si="15"/>
        <v>4.228451971840845E-2</v>
      </c>
      <c r="K31" s="6">
        <f t="shared" ca="1" si="15"/>
        <v>4.228451971840845E-2</v>
      </c>
      <c r="L31" s="6">
        <f t="shared" ca="1" si="15"/>
        <v>4.228451971840845E-2</v>
      </c>
    </row>
    <row r="33" spans="1:12" s="55" customFormat="1" x14ac:dyDescent="0.2">
      <c r="A33" s="55" t="s">
        <v>264</v>
      </c>
      <c r="B33" s="56">
        <f>-B24+B14+B22</f>
        <v>-18828.599999999999</v>
      </c>
      <c r="C33" s="56">
        <f ca="1">-C24+C14+C22</f>
        <v>3890.0270437173103</v>
      </c>
      <c r="D33" s="56">
        <f t="shared" ref="D33:L33" ca="1" si="16">-D24+D14+D22</f>
        <v>3013.4800292597401</v>
      </c>
      <c r="E33" s="56">
        <f t="shared" ca="1" si="16"/>
        <v>2095.6596033350515</v>
      </c>
      <c r="F33" s="56">
        <f ca="1">-F24+F14+F22</f>
        <v>1134.6223510823856</v>
      </c>
      <c r="G33" s="56">
        <f t="shared" ca="1" si="16"/>
        <v>-14853.128429271224</v>
      </c>
      <c r="H33" s="56">
        <f t="shared" si="16"/>
        <v>-21122.759220820382</v>
      </c>
      <c r="I33" s="56">
        <f t="shared" si="16"/>
        <v>-22067.9124606771</v>
      </c>
      <c r="J33" s="56">
        <f t="shared" si="16"/>
        <v>-23057.569529677796</v>
      </c>
      <c r="K33" s="56">
        <f t="shared" si="16"/>
        <v>-24093.82595130476</v>
      </c>
      <c r="L33" s="56">
        <f t="shared" si="16"/>
        <v>-25178.875919620965</v>
      </c>
    </row>
    <row r="34" spans="1:12" ht="16" hidden="1" x14ac:dyDescent="0.2">
      <c r="A34" s="51" t="s">
        <v>265</v>
      </c>
      <c r="C34" s="39"/>
    </row>
    <row r="36" spans="1:12" ht="16" x14ac:dyDescent="0.2">
      <c r="A36" s="51" t="s">
        <v>266</v>
      </c>
    </row>
    <row r="39" spans="1:12" ht="16" x14ac:dyDescent="0.2">
      <c r="A39" s="51" t="s">
        <v>267</v>
      </c>
      <c r="B39" s="39">
        <f>+B24-B36</f>
        <v>18828.599999999999</v>
      </c>
      <c r="C39" s="39">
        <f t="shared" ref="C39:L39" ca="1" si="17">+C24-C36</f>
        <v>8156.3495337220229</v>
      </c>
      <c r="D39" s="39">
        <f t="shared" ca="1" si="17"/>
        <v>9032.8965481795931</v>
      </c>
      <c r="E39" s="39">
        <f t="shared" ca="1" si="17"/>
        <v>9950.7169741042817</v>
      </c>
      <c r="F39" s="39">
        <f t="shared" ca="1" si="17"/>
        <v>10911.754226356948</v>
      </c>
      <c r="G39" s="39">
        <f t="shared" ca="1" si="17"/>
        <v>17805.116717990892</v>
      </c>
      <c r="H39" s="39">
        <f t="shared" si="17"/>
        <v>21122.759220820382</v>
      </c>
      <c r="I39" s="39">
        <f t="shared" si="17"/>
        <v>22067.9124606771</v>
      </c>
      <c r="J39" s="39">
        <f t="shared" si="17"/>
        <v>23057.569529677796</v>
      </c>
      <c r="K39" s="39">
        <f t="shared" si="17"/>
        <v>24093.82595130476</v>
      </c>
      <c r="L39" s="39">
        <f t="shared" si="17"/>
        <v>25178.875919620965</v>
      </c>
    </row>
    <row r="40" spans="1:12" x14ac:dyDescent="0.2">
      <c r="A40" s="1" t="s">
        <v>268</v>
      </c>
      <c r="L40" s="52">
        <f>+L11*4</f>
        <v>137879.29096926266</v>
      </c>
    </row>
    <row r="41" spans="1:12" x14ac:dyDescent="0.2">
      <c r="A41" s="1" t="s">
        <v>269</v>
      </c>
      <c r="B41" s="39">
        <f t="shared" ref="B41:K41" si="18">+B39+B40</f>
        <v>18828.599999999999</v>
      </c>
      <c r="C41" s="39">
        <f t="shared" ca="1" si="18"/>
        <v>8156.3495337220229</v>
      </c>
      <c r="D41" s="39">
        <f t="shared" ca="1" si="18"/>
        <v>9032.8965481795931</v>
      </c>
      <c r="E41" s="39">
        <f t="shared" ca="1" si="18"/>
        <v>9950.7169741042817</v>
      </c>
      <c r="F41" s="39">
        <f t="shared" ca="1" si="18"/>
        <v>10911.754226356948</v>
      </c>
      <c r="G41" s="39">
        <f t="shared" ca="1" si="18"/>
        <v>17805.116717990892</v>
      </c>
      <c r="H41" s="39">
        <f t="shared" si="18"/>
        <v>21122.759220820382</v>
      </c>
      <c r="I41" s="39">
        <f t="shared" si="18"/>
        <v>22067.9124606771</v>
      </c>
      <c r="J41" s="39">
        <f t="shared" si="18"/>
        <v>23057.569529677796</v>
      </c>
      <c r="K41" s="39">
        <f t="shared" si="18"/>
        <v>24093.82595130476</v>
      </c>
      <c r="L41" s="39">
        <f>+L39+L40</f>
        <v>163058.16688888363</v>
      </c>
    </row>
    <row r="43" spans="1:12" ht="16" x14ac:dyDescent="0.2">
      <c r="A43" s="51" t="s">
        <v>270</v>
      </c>
    </row>
    <row r="46" spans="1:12" ht="16" x14ac:dyDescent="0.2">
      <c r="A46" s="51" t="s">
        <v>271</v>
      </c>
      <c r="C46" s="58"/>
    </row>
    <row r="47" spans="1:12" x14ac:dyDescent="0.2">
      <c r="B47" s="58"/>
    </row>
    <row r="48" spans="1:12" x14ac:dyDescent="0.2">
      <c r="C48" s="58"/>
    </row>
    <row r="49" spans="2:3" x14ac:dyDescent="0.2">
      <c r="B49" s="58"/>
    </row>
    <row r="50" spans="2:3" x14ac:dyDescent="0.2">
      <c r="C50" s="58"/>
    </row>
    <row r="52" spans="2:3" x14ac:dyDescent="0.2">
      <c r="C52" s="58"/>
    </row>
    <row r="53" spans="2:3" x14ac:dyDescent="0.2">
      <c r="C5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5DB4-2CF5-4C96-8696-FC792B82C5E6}">
  <dimension ref="A1:P53"/>
  <sheetViews>
    <sheetView workbookViewId="0">
      <selection activeCell="M26" sqref="M26"/>
    </sheetView>
  </sheetViews>
  <sheetFormatPr baseColWidth="10" defaultColWidth="11.5" defaultRowHeight="15" x14ac:dyDescent="0.2"/>
  <cols>
    <col min="1" max="1" width="45.5" style="1" bestFit="1" customWidth="1"/>
    <col min="2" max="3" width="12.6640625" style="1" bestFit="1" customWidth="1"/>
    <col min="4" max="7" width="12.5" style="1" bestFit="1" customWidth="1"/>
    <col min="8" max="14" width="11.5" style="1"/>
    <col min="15" max="15" width="19.1640625" style="1" bestFit="1" customWidth="1"/>
    <col min="16" max="16" width="11.5" style="1" customWidth="1"/>
    <col min="17" max="16384" width="11.5" style="1"/>
  </cols>
  <sheetData>
    <row r="1" spans="1:16" ht="16" x14ac:dyDescent="0.2">
      <c r="A1" s="51" t="s">
        <v>243</v>
      </c>
    </row>
    <row r="3" spans="1:16" x14ac:dyDescent="0.2">
      <c r="B3" s="1">
        <v>2025</v>
      </c>
      <c r="C3" s="1">
        <v>2026</v>
      </c>
      <c r="D3" s="1">
        <v>2027</v>
      </c>
      <c r="E3" s="1">
        <v>2028</v>
      </c>
      <c r="F3" s="1">
        <v>2029</v>
      </c>
      <c r="G3" s="1">
        <v>2030</v>
      </c>
      <c r="H3" s="1">
        <v>2031</v>
      </c>
      <c r="I3" s="1">
        <v>2032</v>
      </c>
      <c r="J3" s="1">
        <v>2033</v>
      </c>
      <c r="K3" s="1">
        <v>2034</v>
      </c>
      <c r="L3" s="1">
        <v>2035</v>
      </c>
      <c r="O3" s="1" t="s">
        <v>277</v>
      </c>
      <c r="P3" s="1">
        <v>1114</v>
      </c>
    </row>
    <row r="4" spans="1:16" x14ac:dyDescent="0.2">
      <c r="A4" s="1" t="s">
        <v>244</v>
      </c>
    </row>
    <row r="7" spans="1:16" ht="16" x14ac:dyDescent="0.2">
      <c r="A7" s="51" t="s">
        <v>245</v>
      </c>
      <c r="B7" s="52">
        <f>+'Industria Automotriz'!H38</f>
        <v>146990.00000000003</v>
      </c>
      <c r="C7" s="52">
        <f>+'Industria Automotriz'!I39</f>
        <v>150450.61229545457</v>
      </c>
      <c r="D7" s="52">
        <f>+'Industria Automotriz'!I40</f>
        <v>153992.69841538323</v>
      </c>
      <c r="E7" s="52">
        <f>+'Industria Automotriz'!I41</f>
        <v>157618.17651284902</v>
      </c>
      <c r="F7" s="52">
        <f>+'Industria Automotriz'!I42</f>
        <v>161329.00990034128</v>
      </c>
      <c r="G7" s="52">
        <f>+'Industria Automotriz'!I43</f>
        <v>165127.20811297224</v>
      </c>
      <c r="H7" s="52">
        <f>+'Industria Automotriz'!I44</f>
        <v>169014.82799670467</v>
      </c>
      <c r="I7" s="52">
        <f>+'Industria Automotriz'!I45</f>
        <v>172993.97482219979</v>
      </c>
      <c r="J7" s="52">
        <f>+'Industria Automotriz'!I46</f>
        <v>177066.80342488879</v>
      </c>
      <c r="K7" s="52">
        <f>+'Industria Automotriz'!I47</f>
        <v>181235.5193718852</v>
      </c>
      <c r="L7" s="52">
        <f>+'Industria Automotriz'!I48</f>
        <v>185502.38015637008</v>
      </c>
    </row>
    <row r="8" spans="1:16" x14ac:dyDescent="0.2">
      <c r="A8" s="1" t="s">
        <v>246</v>
      </c>
      <c r="B8" s="52">
        <f t="shared" ref="B8:J8" si="0">+B7*0.8</f>
        <v>117592.00000000003</v>
      </c>
      <c r="C8" s="52">
        <f t="shared" si="0"/>
        <v>120360.48983636366</v>
      </c>
      <c r="D8" s="52">
        <f t="shared" si="0"/>
        <v>123194.15873230659</v>
      </c>
      <c r="E8" s="52">
        <f t="shared" si="0"/>
        <v>126094.54121027922</v>
      </c>
      <c r="F8" s="52">
        <f t="shared" si="0"/>
        <v>129063.20792027302</v>
      </c>
      <c r="G8" s="52">
        <f t="shared" si="0"/>
        <v>132101.76649037781</v>
      </c>
      <c r="H8" s="52">
        <f t="shared" si="0"/>
        <v>135211.86239736373</v>
      </c>
      <c r="I8" s="52">
        <f t="shared" si="0"/>
        <v>138395.17985775982</v>
      </c>
      <c r="J8" s="52">
        <f t="shared" si="0"/>
        <v>141653.44273991103</v>
      </c>
      <c r="K8" s="52">
        <f t="shared" ref="K8:L8" si="1">+K7*0.8</f>
        <v>144988.41549750816</v>
      </c>
      <c r="L8" s="52">
        <f t="shared" si="1"/>
        <v>148401.90412509607</v>
      </c>
    </row>
    <row r="9" spans="1:16" ht="16" x14ac:dyDescent="0.2">
      <c r="A9" s="51" t="s">
        <v>247</v>
      </c>
      <c r="B9" s="53">
        <f t="shared" ref="B9:J9" si="2">+B7-B8</f>
        <v>29398</v>
      </c>
      <c r="C9" s="53">
        <f t="shared" si="2"/>
        <v>30090.122459090911</v>
      </c>
      <c r="D9" s="53">
        <f t="shared" si="2"/>
        <v>30798.53968307664</v>
      </c>
      <c r="E9" s="53">
        <f t="shared" si="2"/>
        <v>31523.635302569804</v>
      </c>
      <c r="F9" s="53">
        <f t="shared" si="2"/>
        <v>32265.801980068252</v>
      </c>
      <c r="G9" s="53">
        <f t="shared" si="2"/>
        <v>33025.44162259443</v>
      </c>
      <c r="H9" s="53">
        <f t="shared" si="2"/>
        <v>33802.96559934094</v>
      </c>
      <c r="I9" s="53">
        <f t="shared" si="2"/>
        <v>34598.794964439963</v>
      </c>
      <c r="J9" s="53">
        <f t="shared" si="2"/>
        <v>35413.360684977757</v>
      </c>
      <c r="K9" s="53">
        <f t="shared" ref="K9:L9" si="3">+K7-K8</f>
        <v>36247.103874377033</v>
      </c>
      <c r="L9" s="53">
        <f t="shared" si="3"/>
        <v>37100.476031274011</v>
      </c>
    </row>
    <row r="10" spans="1:16" x14ac:dyDescent="0.2">
      <c r="A10" s="1" t="s">
        <v>248</v>
      </c>
      <c r="B10" s="52">
        <v>4000</v>
      </c>
      <c r="C10" s="52">
        <f>+B10*(1+Supuestos!$B$4)</f>
        <v>4188.3454545454542</v>
      </c>
      <c r="D10" s="52">
        <f>+C10*(1+Supuestos!$B$4)</f>
        <v>4385.5594116528919</v>
      </c>
      <c r="E10" s="52">
        <f>+D10*(1+Supuestos!$B$4)</f>
        <v>4592.0594568588567</v>
      </c>
      <c r="F10" s="52">
        <f>+E10*(1+Supuestos!$B$4)</f>
        <v>4808.2828382843154</v>
      </c>
      <c r="G10" s="52">
        <f>+F10*2</f>
        <v>9616.5656765686308</v>
      </c>
      <c r="H10" s="52">
        <f>+G10*(1+Supuestos!$B$4)</f>
        <v>10069.374784948515</v>
      </c>
      <c r="I10" s="52">
        <f>+H10*(1+Supuestos!$B$4)</f>
        <v>10543.505027663432</v>
      </c>
      <c r="J10" s="52">
        <f>+I10*(1+Supuestos!$B$4)</f>
        <v>11039.960339397821</v>
      </c>
      <c r="K10" s="52">
        <f>+J10*(1+Supuestos!$B$4)</f>
        <v>11559.791926469739</v>
      </c>
      <c r="L10" s="52">
        <f>+K10*(1+Supuestos!$B$4)</f>
        <v>12104.100492680194</v>
      </c>
    </row>
    <row r="11" spans="1:16" ht="16" x14ac:dyDescent="0.2">
      <c r="A11" s="51" t="s">
        <v>249</v>
      </c>
      <c r="B11" s="39">
        <f>+B9-B10</f>
        <v>25398</v>
      </c>
      <c r="C11" s="39">
        <f t="shared" ref="C11:L11" si="4">+C9-C10</f>
        <v>25901.777004545456</v>
      </c>
      <c r="D11" s="39">
        <f t="shared" si="4"/>
        <v>26412.980271423748</v>
      </c>
      <c r="E11" s="39">
        <f t="shared" si="4"/>
        <v>26931.575845710948</v>
      </c>
      <c r="F11" s="39">
        <f t="shared" si="4"/>
        <v>27457.519141783938</v>
      </c>
      <c r="G11" s="39">
        <f t="shared" si="4"/>
        <v>23408.875946025801</v>
      </c>
      <c r="H11" s="39">
        <f t="shared" si="4"/>
        <v>23733.590814392424</v>
      </c>
      <c r="I11" s="39">
        <f t="shared" si="4"/>
        <v>24055.289936776531</v>
      </c>
      <c r="J11" s="39">
        <f t="shared" si="4"/>
        <v>24373.400345579936</v>
      </c>
      <c r="K11" s="39">
        <f t="shared" si="4"/>
        <v>24687.311947907292</v>
      </c>
      <c r="L11" s="39">
        <f t="shared" si="4"/>
        <v>24996.375538593817</v>
      </c>
    </row>
    <row r="12" spans="1:16" x14ac:dyDescent="0.2">
      <c r="A12" s="1" t="s">
        <v>250</v>
      </c>
      <c r="B12" s="52">
        <f>+Supuestos!B11*Supuestos!B9</f>
        <v>3500</v>
      </c>
      <c r="C12" s="52">
        <f>+B12</f>
        <v>3500</v>
      </c>
      <c r="D12" s="52">
        <f t="shared" ref="D12:L12" si="5">+C12</f>
        <v>3500</v>
      </c>
      <c r="E12" s="52">
        <f t="shared" si="5"/>
        <v>3500</v>
      </c>
      <c r="F12" s="52">
        <f t="shared" si="5"/>
        <v>3500</v>
      </c>
      <c r="G12" s="52">
        <f t="shared" si="5"/>
        <v>3500</v>
      </c>
      <c r="H12" s="52">
        <f t="shared" si="5"/>
        <v>3500</v>
      </c>
      <c r="I12" s="52">
        <f t="shared" si="5"/>
        <v>3500</v>
      </c>
      <c r="J12" s="52">
        <f t="shared" si="5"/>
        <v>3500</v>
      </c>
      <c r="K12" s="52">
        <f t="shared" si="5"/>
        <v>3500</v>
      </c>
      <c r="L12" s="52">
        <f t="shared" si="5"/>
        <v>3500</v>
      </c>
    </row>
    <row r="13" spans="1:16" ht="16" x14ac:dyDescent="0.2">
      <c r="A13" s="51" t="s">
        <v>251</v>
      </c>
      <c r="B13" s="39">
        <f>+B11-B12</f>
        <v>21898</v>
      </c>
      <c r="C13" s="39">
        <f t="shared" ref="C13:L13" si="6">+C11-C12</f>
        <v>22401.777004545456</v>
      </c>
      <c r="D13" s="39">
        <f t="shared" si="6"/>
        <v>22912.980271423748</v>
      </c>
      <c r="E13" s="39">
        <f t="shared" si="6"/>
        <v>23431.575845710948</v>
      </c>
      <c r="F13" s="39">
        <f t="shared" si="6"/>
        <v>23957.519141783938</v>
      </c>
      <c r="G13" s="39">
        <f t="shared" si="6"/>
        <v>19908.875946025801</v>
      </c>
      <c r="H13" s="39">
        <f t="shared" si="6"/>
        <v>20233.590814392424</v>
      </c>
      <c r="I13" s="39">
        <f t="shared" si="6"/>
        <v>20555.289936776531</v>
      </c>
      <c r="J13" s="39">
        <f t="shared" si="6"/>
        <v>20873.400345579936</v>
      </c>
      <c r="K13" s="39">
        <f t="shared" si="6"/>
        <v>21187.311947907292</v>
      </c>
      <c r="L13" s="39">
        <f t="shared" si="6"/>
        <v>21496.375538593817</v>
      </c>
    </row>
    <row r="14" spans="1:16" x14ac:dyDescent="0.2">
      <c r="A14" s="1" t="s">
        <v>252</v>
      </c>
      <c r="B14" s="3">
        <v>0</v>
      </c>
      <c r="C14" s="3">
        <f ca="1">+B29*B31</f>
        <v>1789.9882887196666</v>
      </c>
      <c r="D14" s="3">
        <f ca="1">+C14</f>
        <v>1789.9882887196666</v>
      </c>
      <c r="E14" s="3">
        <f t="shared" ref="E14:L14" ca="1" si="7">+D14</f>
        <v>1789.9882887196666</v>
      </c>
      <c r="F14" s="3">
        <f t="shared" ca="1" si="7"/>
        <v>1789.9882887196666</v>
      </c>
      <c r="G14" s="3">
        <f t="shared" ca="1" si="7"/>
        <v>1789.9882887196666</v>
      </c>
      <c r="H14" s="3">
        <v>0</v>
      </c>
      <c r="I14" s="3">
        <f t="shared" si="7"/>
        <v>0</v>
      </c>
      <c r="J14" s="3">
        <v>0</v>
      </c>
      <c r="K14" s="3">
        <v>0</v>
      </c>
      <c r="L14" s="3">
        <f t="shared" si="7"/>
        <v>0</v>
      </c>
    </row>
    <row r="15" spans="1:16" x14ac:dyDescent="0.2">
      <c r="A15" s="1" t="s">
        <v>253</v>
      </c>
      <c r="B15" s="39">
        <f>+B13-B14</f>
        <v>21898</v>
      </c>
      <c r="C15" s="39">
        <f t="shared" ref="C15:L15" ca="1" si="8">+C13-C14</f>
        <v>20611.788715825791</v>
      </c>
      <c r="D15" s="39">
        <f t="shared" ca="1" si="8"/>
        <v>21122.991982704083</v>
      </c>
      <c r="E15" s="39">
        <f t="shared" ca="1" si="8"/>
        <v>21641.587556991282</v>
      </c>
      <c r="F15" s="39">
        <f t="shared" ca="1" si="8"/>
        <v>22167.530853064272</v>
      </c>
      <c r="G15" s="39">
        <f t="shared" ca="1" si="8"/>
        <v>18118.887657306135</v>
      </c>
      <c r="H15" s="39">
        <f t="shared" si="8"/>
        <v>20233.590814392424</v>
      </c>
      <c r="I15" s="39">
        <f t="shared" si="8"/>
        <v>20555.289936776531</v>
      </c>
      <c r="J15" s="39">
        <f t="shared" si="8"/>
        <v>20873.400345579936</v>
      </c>
      <c r="K15" s="39">
        <f t="shared" si="8"/>
        <v>21187.311947907292</v>
      </c>
      <c r="L15" s="39">
        <f t="shared" si="8"/>
        <v>21496.375538593817</v>
      </c>
    </row>
    <row r="16" spans="1:16" x14ac:dyDescent="0.2">
      <c r="A16" s="1" t="s">
        <v>254</v>
      </c>
      <c r="B16" s="52">
        <f>+B15*0.3</f>
        <v>6569.4</v>
      </c>
      <c r="C16" s="52">
        <f t="shared" ref="C16:L16" ca="1" si="9">+C15*0.3</f>
        <v>6183.5366147477371</v>
      </c>
      <c r="D16" s="52">
        <f t="shared" ca="1" si="9"/>
        <v>6336.8975948112247</v>
      </c>
      <c r="E16" s="52">
        <f t="shared" ca="1" si="9"/>
        <v>6492.4762670973842</v>
      </c>
      <c r="F16" s="52">
        <f t="shared" ca="1" si="9"/>
        <v>6650.2592559192817</v>
      </c>
      <c r="G16" s="52">
        <f t="shared" ca="1" si="9"/>
        <v>5435.6662971918404</v>
      </c>
      <c r="H16" s="52">
        <f t="shared" si="9"/>
        <v>6070.0772443177275</v>
      </c>
      <c r="I16" s="52">
        <f t="shared" si="9"/>
        <v>6166.5869810329596</v>
      </c>
      <c r="J16" s="52">
        <f t="shared" si="9"/>
        <v>6262.0201036739809</v>
      </c>
      <c r="K16" s="52">
        <f t="shared" si="9"/>
        <v>6356.1935843721876</v>
      </c>
      <c r="L16" s="52">
        <f t="shared" si="9"/>
        <v>6448.9126615781452</v>
      </c>
    </row>
    <row r="17" spans="1:12" ht="16" x14ac:dyDescent="0.2">
      <c r="A17" s="51" t="s">
        <v>255</v>
      </c>
      <c r="B17" s="39">
        <f>+B15-B16</f>
        <v>15328.6</v>
      </c>
      <c r="C17" s="39">
        <f t="shared" ref="C17:L17" ca="1" si="10">+C15-C16</f>
        <v>14428.252101078055</v>
      </c>
      <c r="D17" s="39">
        <f t="shared" ca="1" si="10"/>
        <v>14786.094387892859</v>
      </c>
      <c r="E17" s="39">
        <f t="shared" ca="1" si="10"/>
        <v>15149.111289893899</v>
      </c>
      <c r="F17" s="39">
        <f t="shared" ca="1" si="10"/>
        <v>15517.271597144991</v>
      </c>
      <c r="G17" s="39">
        <f t="shared" ca="1" si="10"/>
        <v>12683.221360114294</v>
      </c>
      <c r="H17" s="39">
        <f t="shared" si="10"/>
        <v>14163.513570074698</v>
      </c>
      <c r="I17" s="39">
        <f t="shared" si="10"/>
        <v>14388.702955743571</v>
      </c>
      <c r="J17" s="39">
        <f t="shared" si="10"/>
        <v>14611.380241905954</v>
      </c>
      <c r="K17" s="39">
        <f t="shared" si="10"/>
        <v>14831.118363535104</v>
      </c>
      <c r="L17" s="39">
        <f t="shared" si="10"/>
        <v>15047.462877015671</v>
      </c>
    </row>
    <row r="19" spans="1:12" x14ac:dyDescent="0.2">
      <c r="A19" s="1" t="s">
        <v>256</v>
      </c>
      <c r="B19" s="39">
        <f>+B12</f>
        <v>3500</v>
      </c>
      <c r="C19" s="39">
        <f t="shared" ref="C19:L19" si="11">+C12</f>
        <v>3500</v>
      </c>
      <c r="D19" s="39">
        <f t="shared" si="11"/>
        <v>3500</v>
      </c>
      <c r="E19" s="39">
        <f t="shared" si="11"/>
        <v>3500</v>
      </c>
      <c r="F19" s="39">
        <f t="shared" si="11"/>
        <v>3500</v>
      </c>
      <c r="G19" s="39">
        <f t="shared" si="11"/>
        <v>3500</v>
      </c>
      <c r="H19" s="39">
        <f t="shared" si="11"/>
        <v>3500</v>
      </c>
      <c r="I19" s="39">
        <f t="shared" si="11"/>
        <v>3500</v>
      </c>
      <c r="J19" s="39">
        <f t="shared" si="11"/>
        <v>3500</v>
      </c>
      <c r="K19" s="39">
        <f t="shared" si="11"/>
        <v>3500</v>
      </c>
      <c r="L19" s="39">
        <f t="shared" si="11"/>
        <v>3500</v>
      </c>
    </row>
    <row r="20" spans="1:12" hidden="1" x14ac:dyDescent="0.2">
      <c r="A20" s="1" t="s">
        <v>257</v>
      </c>
      <c r="C20" s="39"/>
    </row>
    <row r="21" spans="1:12" ht="16" x14ac:dyDescent="0.2">
      <c r="A21" s="51" t="s">
        <v>258</v>
      </c>
      <c r="B21" s="39">
        <f>+B17+B19-B20</f>
        <v>18828.599999999999</v>
      </c>
      <c r="C21" s="39">
        <f ca="1">+C17+C19-C20</f>
        <v>17928.252101078055</v>
      </c>
      <c r="D21" s="39">
        <f t="shared" ref="D21:L21" ca="1" si="12">+D17+D19-D20</f>
        <v>18286.094387892859</v>
      </c>
      <c r="E21" s="39">
        <f t="shared" ca="1" si="12"/>
        <v>18649.111289893899</v>
      </c>
      <c r="F21" s="39">
        <f t="shared" ca="1" si="12"/>
        <v>19017.271597144991</v>
      </c>
      <c r="G21" s="39">
        <f t="shared" ca="1" si="12"/>
        <v>16183.221360114294</v>
      </c>
      <c r="H21" s="39">
        <f t="shared" si="12"/>
        <v>17663.513570074698</v>
      </c>
      <c r="I21" s="39">
        <f t="shared" si="12"/>
        <v>17888.702955743571</v>
      </c>
      <c r="J21" s="39">
        <f t="shared" si="12"/>
        <v>18111.380241905954</v>
      </c>
      <c r="K21" s="39">
        <f t="shared" si="12"/>
        <v>18331.118363535104</v>
      </c>
      <c r="L21" s="39">
        <f t="shared" si="12"/>
        <v>18547.462877015671</v>
      </c>
    </row>
    <row r="22" spans="1:12" x14ac:dyDescent="0.2">
      <c r="A22" s="1" t="s">
        <v>259</v>
      </c>
      <c r="B22" s="52"/>
      <c r="C22" s="52">
        <f ca="1">+B29/5+C14</f>
        <v>10256.388288719667</v>
      </c>
      <c r="D22" s="52">
        <f ca="1">+C22</f>
        <v>10256.388288719667</v>
      </c>
      <c r="E22" s="52">
        <f t="shared" ref="E22:L22" ca="1" si="13">+D22</f>
        <v>10256.388288719667</v>
      </c>
      <c r="F22" s="52">
        <f t="shared" ca="1" si="13"/>
        <v>10256.388288719667</v>
      </c>
      <c r="G22" s="52">
        <v>1162</v>
      </c>
      <c r="H22" s="52">
        <v>0</v>
      </c>
      <c r="I22" s="52">
        <f t="shared" si="13"/>
        <v>0</v>
      </c>
      <c r="J22" s="52">
        <f t="shared" si="13"/>
        <v>0</v>
      </c>
      <c r="K22" s="52">
        <f t="shared" si="13"/>
        <v>0</v>
      </c>
      <c r="L22" s="52">
        <f t="shared" si="13"/>
        <v>0</v>
      </c>
    </row>
    <row r="24" spans="1:12" ht="16" x14ac:dyDescent="0.2">
      <c r="A24" s="51" t="s">
        <v>260</v>
      </c>
      <c r="B24" s="39">
        <f>+B21-B22</f>
        <v>18828.599999999999</v>
      </c>
      <c r="C24" s="39">
        <f ca="1">+C21-C22</f>
        <v>7671.8638123583878</v>
      </c>
      <c r="D24" s="39">
        <f t="shared" ref="D24:L24" ca="1" si="14">+D21-D22</f>
        <v>8029.7060991731923</v>
      </c>
      <c r="E24" s="39">
        <f t="shared" ca="1" si="14"/>
        <v>8392.7230011742322</v>
      </c>
      <c r="F24" s="39">
        <f t="shared" ca="1" si="14"/>
        <v>8760.8833084253238</v>
      </c>
      <c r="G24" s="39">
        <f t="shared" ca="1" si="14"/>
        <v>15021.221360114294</v>
      </c>
      <c r="H24" s="39">
        <f t="shared" si="14"/>
        <v>17663.513570074698</v>
      </c>
      <c r="I24" s="39">
        <f t="shared" si="14"/>
        <v>17888.702955743571</v>
      </c>
      <c r="J24" s="39">
        <f t="shared" si="14"/>
        <v>18111.380241905954</v>
      </c>
      <c r="K24" s="39">
        <f t="shared" si="14"/>
        <v>18331.118363535104</v>
      </c>
      <c r="L24" s="39">
        <f t="shared" si="14"/>
        <v>18547.462877015671</v>
      </c>
    </row>
    <row r="28" spans="1:12" ht="16" x14ac:dyDescent="0.2">
      <c r="A28" s="51" t="s">
        <v>261</v>
      </c>
      <c r="B28" s="52">
        <v>0</v>
      </c>
      <c r="C28" s="52">
        <f ca="1">+B28+B29-C22</f>
        <v>32075.611711280333</v>
      </c>
      <c r="D28" s="52">
        <f t="shared" ref="D28:G28" ca="1" si="15">+C28+C29-D22</f>
        <v>21819.223422560666</v>
      </c>
      <c r="E28" s="52">
        <f t="shared" ca="1" si="15"/>
        <v>11562.835133840999</v>
      </c>
      <c r="F28" s="52">
        <f t="shared" ca="1" si="15"/>
        <v>1306.4468451213324</v>
      </c>
      <c r="G28" s="52">
        <f t="shared" ca="1" si="15"/>
        <v>144.44684512133244</v>
      </c>
      <c r="H28" s="52"/>
      <c r="I28" s="52"/>
      <c r="J28" s="52"/>
      <c r="K28" s="52"/>
      <c r="L28" s="52"/>
    </row>
    <row r="29" spans="1:12" s="55" customFormat="1" ht="16" x14ac:dyDescent="0.2">
      <c r="A29" s="54" t="s">
        <v>262</v>
      </c>
      <c r="B29" s="57">
        <f>+('Datos Proporcionados CL Circula'!B2+'Datos Proporcionados CL Circula'!B5)*'Con finacimiento PESIMISTA'!P3</f>
        <v>42332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</row>
    <row r="30" spans="1:12" x14ac:dyDescent="0.2">
      <c r="A30" s="1" t="s">
        <v>263</v>
      </c>
      <c r="B30" s="46">
        <f>+B28/B11</f>
        <v>0</v>
      </c>
      <c r="C30" s="46">
        <f t="shared" ref="C30:L30" ca="1" si="16">+C28/C11</f>
        <v>1.2383556427673452</v>
      </c>
      <c r="D30" s="46">
        <f t="shared" ca="1" si="16"/>
        <v>0.82607957142068222</v>
      </c>
      <c r="E30" s="46">
        <f t="shared" ca="1" si="16"/>
        <v>0.42934120157259442</v>
      </c>
      <c r="F30" s="46">
        <f t="shared" ca="1" si="16"/>
        <v>4.7580658630343088E-2</v>
      </c>
      <c r="G30" s="46">
        <f t="shared" ca="1" si="16"/>
        <v>6.1706015040784408E-3</v>
      </c>
      <c r="H30" s="46">
        <f t="shared" si="16"/>
        <v>0</v>
      </c>
      <c r="I30" s="46">
        <f t="shared" si="16"/>
        <v>0</v>
      </c>
      <c r="J30" s="46">
        <f t="shared" si="16"/>
        <v>0</v>
      </c>
      <c r="K30" s="46">
        <f t="shared" si="16"/>
        <v>0</v>
      </c>
      <c r="L30" s="46">
        <f t="shared" si="16"/>
        <v>0</v>
      </c>
    </row>
    <row r="31" spans="1:12" x14ac:dyDescent="0.2">
      <c r="A31" s="1" t="s">
        <v>252</v>
      </c>
      <c r="B31" s="6">
        <f ca="1">+'EUR A MXN'!H7+Supuestos!B3</f>
        <v>4.228451971840845E-2</v>
      </c>
      <c r="C31" s="6">
        <f ca="1">+B31</f>
        <v>4.228451971840845E-2</v>
      </c>
      <c r="D31" s="6">
        <f t="shared" ref="D31:L31" ca="1" si="17">+C31</f>
        <v>4.228451971840845E-2</v>
      </c>
      <c r="E31" s="6">
        <f t="shared" ca="1" si="17"/>
        <v>4.228451971840845E-2</v>
      </c>
      <c r="F31" s="6">
        <f t="shared" ca="1" si="17"/>
        <v>4.228451971840845E-2</v>
      </c>
      <c r="G31" s="6">
        <f t="shared" ca="1" si="17"/>
        <v>4.228451971840845E-2</v>
      </c>
      <c r="H31" s="6">
        <f t="shared" ca="1" si="17"/>
        <v>4.228451971840845E-2</v>
      </c>
      <c r="I31" s="6">
        <f t="shared" ca="1" si="17"/>
        <v>4.228451971840845E-2</v>
      </c>
      <c r="J31" s="6">
        <f t="shared" ca="1" si="17"/>
        <v>4.228451971840845E-2</v>
      </c>
      <c r="K31" s="6">
        <f t="shared" ca="1" si="17"/>
        <v>4.228451971840845E-2</v>
      </c>
      <c r="L31" s="6">
        <f t="shared" ca="1" si="17"/>
        <v>4.228451971840845E-2</v>
      </c>
    </row>
    <row r="33" spans="1:12" s="55" customFormat="1" x14ac:dyDescent="0.2">
      <c r="A33" s="55" t="s">
        <v>264</v>
      </c>
      <c r="B33" s="56">
        <f>-B24+B14+B22</f>
        <v>-18828.599999999999</v>
      </c>
      <c r="C33" s="56">
        <f ca="1">-C24+C14+C22</f>
        <v>4374.5127650809454</v>
      </c>
      <c r="D33" s="56">
        <f t="shared" ref="D33:L33" ca="1" si="18">-D24+D14+D22</f>
        <v>4016.6704782661409</v>
      </c>
      <c r="E33" s="56">
        <f t="shared" ca="1" si="18"/>
        <v>3653.653576265101</v>
      </c>
      <c r="F33" s="56">
        <f ca="1">-F24+F14+F22</f>
        <v>3285.4932690140095</v>
      </c>
      <c r="G33" s="56">
        <f t="shared" ca="1" si="18"/>
        <v>-12069.233071394627</v>
      </c>
      <c r="H33" s="56">
        <f t="shared" si="18"/>
        <v>-17663.513570074698</v>
      </c>
      <c r="I33" s="56">
        <f t="shared" si="18"/>
        <v>-17888.702955743571</v>
      </c>
      <c r="J33" s="56">
        <f t="shared" si="18"/>
        <v>-18111.380241905954</v>
      </c>
      <c r="K33" s="56">
        <f t="shared" si="18"/>
        <v>-18331.118363535104</v>
      </c>
      <c r="L33" s="56">
        <f t="shared" si="18"/>
        <v>-18547.462877015671</v>
      </c>
    </row>
    <row r="34" spans="1:12" ht="16" hidden="1" x14ac:dyDescent="0.2">
      <c r="A34" s="51" t="s">
        <v>265</v>
      </c>
      <c r="C34" s="39"/>
    </row>
    <row r="36" spans="1:12" ht="16" x14ac:dyDescent="0.2">
      <c r="A36" s="51" t="s">
        <v>266</v>
      </c>
    </row>
    <row r="39" spans="1:12" ht="16" x14ac:dyDescent="0.2">
      <c r="A39" s="51" t="s">
        <v>267</v>
      </c>
      <c r="B39" s="39">
        <f>+B24-B36</f>
        <v>18828.599999999999</v>
      </c>
      <c r="C39" s="39">
        <f t="shared" ref="C39:L39" ca="1" si="19">+C24-C36</f>
        <v>7671.8638123583878</v>
      </c>
      <c r="D39" s="39">
        <f t="shared" ca="1" si="19"/>
        <v>8029.7060991731923</v>
      </c>
      <c r="E39" s="39">
        <f t="shared" ca="1" si="19"/>
        <v>8392.7230011742322</v>
      </c>
      <c r="F39" s="39">
        <f t="shared" ca="1" si="19"/>
        <v>8760.8833084253238</v>
      </c>
      <c r="G39" s="39">
        <f t="shared" ca="1" si="19"/>
        <v>15021.221360114294</v>
      </c>
      <c r="H39" s="39">
        <f t="shared" si="19"/>
        <v>17663.513570074698</v>
      </c>
      <c r="I39" s="39">
        <f t="shared" si="19"/>
        <v>17888.702955743571</v>
      </c>
      <c r="J39" s="39">
        <f t="shared" si="19"/>
        <v>18111.380241905954</v>
      </c>
      <c r="K39" s="39">
        <f t="shared" si="19"/>
        <v>18331.118363535104</v>
      </c>
      <c r="L39" s="39">
        <f t="shared" si="19"/>
        <v>18547.462877015671</v>
      </c>
    </row>
    <row r="40" spans="1:12" x14ac:dyDescent="0.2">
      <c r="A40" s="1" t="s">
        <v>268</v>
      </c>
      <c r="L40" s="52">
        <f>+L11*4</f>
        <v>99985.502154375266</v>
      </c>
    </row>
    <row r="41" spans="1:12" x14ac:dyDescent="0.2">
      <c r="A41" s="1" t="s">
        <v>269</v>
      </c>
      <c r="B41" s="39">
        <f t="shared" ref="B41:K41" si="20">+B39+B40</f>
        <v>18828.599999999999</v>
      </c>
      <c r="C41" s="39">
        <f t="shared" ca="1" si="20"/>
        <v>7671.8638123583878</v>
      </c>
      <c r="D41" s="39">
        <f t="shared" ca="1" si="20"/>
        <v>8029.7060991731923</v>
      </c>
      <c r="E41" s="39">
        <f t="shared" ca="1" si="20"/>
        <v>8392.7230011742322</v>
      </c>
      <c r="F41" s="39">
        <f t="shared" ca="1" si="20"/>
        <v>8760.8833084253238</v>
      </c>
      <c r="G41" s="39">
        <f t="shared" ca="1" si="20"/>
        <v>15021.221360114294</v>
      </c>
      <c r="H41" s="39">
        <f t="shared" si="20"/>
        <v>17663.513570074698</v>
      </c>
      <c r="I41" s="39">
        <f t="shared" si="20"/>
        <v>17888.702955743571</v>
      </c>
      <c r="J41" s="39">
        <f t="shared" si="20"/>
        <v>18111.380241905954</v>
      </c>
      <c r="K41" s="39">
        <f t="shared" si="20"/>
        <v>18331.118363535104</v>
      </c>
      <c r="L41" s="39">
        <f>+L39+L40</f>
        <v>118532.96503139094</v>
      </c>
    </row>
    <row r="43" spans="1:12" ht="16" x14ac:dyDescent="0.2">
      <c r="A43" s="51" t="s">
        <v>270</v>
      </c>
    </row>
    <row r="46" spans="1:12" ht="16" x14ac:dyDescent="0.2">
      <c r="A46" s="51" t="s">
        <v>271</v>
      </c>
      <c r="C46" s="58"/>
    </row>
    <row r="47" spans="1:12" x14ac:dyDescent="0.2">
      <c r="B47" s="58"/>
    </row>
    <row r="48" spans="1:12" x14ac:dyDescent="0.2">
      <c r="C48" s="58"/>
    </row>
    <row r="49" spans="2:3" x14ac:dyDescent="0.2">
      <c r="B49" s="58"/>
    </row>
    <row r="50" spans="2:3" x14ac:dyDescent="0.2">
      <c r="C50" s="58"/>
    </row>
    <row r="52" spans="2:3" x14ac:dyDescent="0.2">
      <c r="C52" s="58"/>
    </row>
    <row r="53" spans="2:3" x14ac:dyDescent="0.2">
      <c r="C5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BED6-09D3-4A23-AA1B-FB530FB5B481}">
  <dimension ref="A1:P53"/>
  <sheetViews>
    <sheetView topLeftCell="A3" workbookViewId="0">
      <selection activeCell="O17" sqref="O17"/>
    </sheetView>
  </sheetViews>
  <sheetFormatPr baseColWidth="10" defaultColWidth="11.5" defaultRowHeight="15" x14ac:dyDescent="0.2"/>
  <cols>
    <col min="1" max="1" width="45.5" style="1" bestFit="1" customWidth="1"/>
    <col min="2" max="3" width="12.6640625" style="1" bestFit="1" customWidth="1"/>
    <col min="4" max="7" width="12.5" style="1" bestFit="1" customWidth="1"/>
    <col min="8" max="14" width="11.5" style="1"/>
    <col min="15" max="15" width="19.1640625" style="1" bestFit="1" customWidth="1"/>
    <col min="16" max="16" width="11.5" style="1" customWidth="1"/>
    <col min="17" max="16384" width="11.5" style="1"/>
  </cols>
  <sheetData>
    <row r="1" spans="1:16" ht="16" x14ac:dyDescent="0.2">
      <c r="A1" s="51" t="s">
        <v>243</v>
      </c>
    </row>
    <row r="3" spans="1:16" x14ac:dyDescent="0.2">
      <c r="B3" s="1">
        <v>2025</v>
      </c>
      <c r="C3" s="1">
        <v>2026</v>
      </c>
      <c r="D3" s="1">
        <v>2027</v>
      </c>
      <c r="E3" s="1">
        <v>2028</v>
      </c>
      <c r="F3" s="1">
        <v>2029</v>
      </c>
      <c r="G3" s="1">
        <v>2030</v>
      </c>
      <c r="H3" s="1">
        <v>2031</v>
      </c>
      <c r="I3" s="1">
        <v>2032</v>
      </c>
      <c r="J3" s="1">
        <v>2033</v>
      </c>
      <c r="K3" s="1">
        <v>2034</v>
      </c>
      <c r="L3" s="1">
        <v>2035</v>
      </c>
      <c r="O3" s="1" t="s">
        <v>277</v>
      </c>
      <c r="P3" s="1">
        <v>1114</v>
      </c>
    </row>
    <row r="4" spans="1:16" x14ac:dyDescent="0.2">
      <c r="A4" s="1" t="s">
        <v>244</v>
      </c>
    </row>
    <row r="7" spans="1:16" ht="16" x14ac:dyDescent="0.2">
      <c r="A7" s="51" t="s">
        <v>245</v>
      </c>
      <c r="B7" s="52">
        <f>+'Industria Automotriz'!H38</f>
        <v>146990.00000000003</v>
      </c>
      <c r="C7" s="52">
        <f>+'Industria Automotriz'!J39</f>
        <v>153911.22459090911</v>
      </c>
      <c r="D7" s="52">
        <f>+'Industria Automotriz'!J40</f>
        <v>164781.90442411747</v>
      </c>
      <c r="E7" s="52">
        <f>+'Industria Automotriz'!J41</f>
        <v>176420.37543272722</v>
      </c>
      <c r="F7" s="52">
        <f>+'Industria Automotriz'!J42</f>
        <v>188880.86635846097</v>
      </c>
      <c r="G7" s="52">
        <f>+'Industria Automotriz'!J43</f>
        <v>202221.4360944198</v>
      </c>
      <c r="H7" s="52">
        <f>+'Industria Automotriz'!J44</f>
        <v>216504.24420693406</v>
      </c>
      <c r="I7" s="52">
        <f>+'Industria Automotriz'!J45</f>
        <v>231795.84056424969</v>
      </c>
      <c r="J7" s="52">
        <f>+'Industria Automotriz'!J46</f>
        <v>248167.47542155691</v>
      </c>
      <c r="K7" s="52">
        <f>+'Industria Automotriz'!J47</f>
        <v>265695.43140718353</v>
      </c>
      <c r="L7" s="52">
        <f>+'Industria Automotriz'!J48</f>
        <v>284461.37895682221</v>
      </c>
    </row>
    <row r="8" spans="1:16" x14ac:dyDescent="0.2">
      <c r="A8" s="1" t="s">
        <v>246</v>
      </c>
      <c r="B8" s="52">
        <f t="shared" ref="B8:J8" si="0">+B7*0.8</f>
        <v>117592.00000000003</v>
      </c>
      <c r="C8" s="52">
        <f t="shared" si="0"/>
        <v>123128.97967272729</v>
      </c>
      <c r="D8" s="52">
        <f t="shared" si="0"/>
        <v>131825.52353929399</v>
      </c>
      <c r="E8" s="52">
        <f t="shared" si="0"/>
        <v>141136.30034618179</v>
      </c>
      <c r="F8" s="52">
        <f t="shared" si="0"/>
        <v>151104.69308676879</v>
      </c>
      <c r="G8" s="52">
        <f t="shared" si="0"/>
        <v>161777.14887553584</v>
      </c>
      <c r="H8" s="52">
        <f t="shared" si="0"/>
        <v>173203.39536554727</v>
      </c>
      <c r="I8" s="52">
        <f t="shared" si="0"/>
        <v>185436.67245139976</v>
      </c>
      <c r="J8" s="52">
        <f t="shared" si="0"/>
        <v>198533.98033724554</v>
      </c>
      <c r="K8" s="52">
        <f t="shared" ref="K8:L8" si="1">+K7*0.8</f>
        <v>212556.34512574683</v>
      </c>
      <c r="L8" s="52">
        <f t="shared" si="1"/>
        <v>227569.10316545778</v>
      </c>
    </row>
    <row r="9" spans="1:16" ht="16" x14ac:dyDescent="0.2">
      <c r="A9" s="51" t="s">
        <v>247</v>
      </c>
      <c r="B9" s="53">
        <f t="shared" ref="B9:J9" si="2">+B7-B8</f>
        <v>29398</v>
      </c>
      <c r="C9" s="53">
        <f t="shared" si="2"/>
        <v>30782.244918181823</v>
      </c>
      <c r="D9" s="53">
        <f t="shared" si="2"/>
        <v>32956.380884823477</v>
      </c>
      <c r="E9" s="53">
        <f t="shared" si="2"/>
        <v>35284.075086545432</v>
      </c>
      <c r="F9" s="53">
        <f t="shared" si="2"/>
        <v>37776.173271692183</v>
      </c>
      <c r="G9" s="53">
        <f t="shared" si="2"/>
        <v>40444.287218883954</v>
      </c>
      <c r="H9" s="53">
        <f t="shared" si="2"/>
        <v>43300.848841386789</v>
      </c>
      <c r="I9" s="53">
        <f t="shared" si="2"/>
        <v>46359.168112849933</v>
      </c>
      <c r="J9" s="53">
        <f t="shared" si="2"/>
        <v>49633.495084311377</v>
      </c>
      <c r="K9" s="53">
        <f t="shared" ref="K9:L9" si="3">+K7-K8</f>
        <v>53139.086281436699</v>
      </c>
      <c r="L9" s="53">
        <f t="shared" si="3"/>
        <v>56892.275791364431</v>
      </c>
    </row>
    <row r="10" spans="1:16" x14ac:dyDescent="0.2">
      <c r="A10" s="1" t="s">
        <v>248</v>
      </c>
      <c r="B10" s="52">
        <v>4000</v>
      </c>
      <c r="C10" s="52">
        <f>+B10*(1+Supuestos!$B$4)</f>
        <v>4188.3454545454542</v>
      </c>
      <c r="D10" s="52">
        <f>+C10*(1+Supuestos!$B$4)</f>
        <v>4385.5594116528919</v>
      </c>
      <c r="E10" s="52">
        <f>+D10*(1+Supuestos!$B$4)</f>
        <v>4592.0594568588567</v>
      </c>
      <c r="F10" s="52">
        <f>+E10*(1+Supuestos!$B$4)</f>
        <v>4808.2828382843154</v>
      </c>
      <c r="G10" s="52">
        <f>+F10*2</f>
        <v>9616.5656765686308</v>
      </c>
      <c r="H10" s="52">
        <f>+G10*(1+Supuestos!$B$4)</f>
        <v>10069.374784948515</v>
      </c>
      <c r="I10" s="52">
        <f>+H10*(1+Supuestos!$B$4)</f>
        <v>10543.505027663432</v>
      </c>
      <c r="J10" s="52">
        <f>+I10*(1+Supuestos!$B$4)</f>
        <v>11039.960339397821</v>
      </c>
      <c r="K10" s="52">
        <f>+J10*(1+Supuestos!$B$4)</f>
        <v>11559.791926469739</v>
      </c>
      <c r="L10" s="52">
        <f>+K10*(1+Supuestos!$B$4)</f>
        <v>12104.100492680194</v>
      </c>
    </row>
    <row r="11" spans="1:16" ht="16" x14ac:dyDescent="0.2">
      <c r="A11" s="51" t="s">
        <v>249</v>
      </c>
      <c r="B11" s="39">
        <f>+B9-B10</f>
        <v>25398</v>
      </c>
      <c r="C11" s="39">
        <f t="shared" ref="C11:L11" si="4">+C9-C10</f>
        <v>26593.899463636368</v>
      </c>
      <c r="D11" s="39">
        <f t="shared" si="4"/>
        <v>28570.821473170585</v>
      </c>
      <c r="E11" s="39">
        <f t="shared" si="4"/>
        <v>30692.015629686575</v>
      </c>
      <c r="F11" s="39">
        <f t="shared" si="4"/>
        <v>32967.890433407869</v>
      </c>
      <c r="G11" s="39">
        <f t="shared" si="4"/>
        <v>30827.721542315325</v>
      </c>
      <c r="H11" s="39">
        <f t="shared" si="4"/>
        <v>33231.474056438274</v>
      </c>
      <c r="I11" s="39">
        <f t="shared" si="4"/>
        <v>35815.663085186505</v>
      </c>
      <c r="J11" s="39">
        <f t="shared" si="4"/>
        <v>38593.534744913559</v>
      </c>
      <c r="K11" s="39">
        <f t="shared" si="4"/>
        <v>41579.294354966958</v>
      </c>
      <c r="L11" s="39">
        <f t="shared" si="4"/>
        <v>44788.175298684233</v>
      </c>
    </row>
    <row r="12" spans="1:16" x14ac:dyDescent="0.2">
      <c r="A12" s="1" t="s">
        <v>250</v>
      </c>
      <c r="B12" s="52">
        <f>+Supuestos!B11*Supuestos!B9</f>
        <v>3500</v>
      </c>
      <c r="C12" s="52">
        <f>+B12</f>
        <v>3500</v>
      </c>
      <c r="D12" s="52">
        <f t="shared" ref="D12:L12" si="5">+C12</f>
        <v>3500</v>
      </c>
      <c r="E12" s="52">
        <f t="shared" si="5"/>
        <v>3500</v>
      </c>
      <c r="F12" s="52">
        <f t="shared" si="5"/>
        <v>3500</v>
      </c>
      <c r="G12" s="52">
        <f t="shared" si="5"/>
        <v>3500</v>
      </c>
      <c r="H12" s="52">
        <f t="shared" si="5"/>
        <v>3500</v>
      </c>
      <c r="I12" s="52">
        <f t="shared" si="5"/>
        <v>3500</v>
      </c>
      <c r="J12" s="52">
        <f t="shared" si="5"/>
        <v>3500</v>
      </c>
      <c r="K12" s="52">
        <f t="shared" si="5"/>
        <v>3500</v>
      </c>
      <c r="L12" s="52">
        <f t="shared" si="5"/>
        <v>3500</v>
      </c>
    </row>
    <row r="13" spans="1:16" ht="16" x14ac:dyDescent="0.2">
      <c r="A13" s="51" t="s">
        <v>251</v>
      </c>
      <c r="B13" s="39">
        <f>+B11-B12</f>
        <v>21898</v>
      </c>
      <c r="C13" s="39">
        <f t="shared" ref="C13:L13" si="6">+C11-C12</f>
        <v>23093.899463636368</v>
      </c>
      <c r="D13" s="39">
        <f t="shared" si="6"/>
        <v>25070.821473170585</v>
      </c>
      <c r="E13" s="39">
        <f t="shared" si="6"/>
        <v>27192.015629686575</v>
      </c>
      <c r="F13" s="39">
        <f t="shared" si="6"/>
        <v>29467.890433407869</v>
      </c>
      <c r="G13" s="39">
        <f t="shared" si="6"/>
        <v>27327.721542315325</v>
      </c>
      <c r="H13" s="39">
        <f t="shared" si="6"/>
        <v>29731.474056438274</v>
      </c>
      <c r="I13" s="39">
        <f t="shared" si="6"/>
        <v>32315.663085186505</v>
      </c>
      <c r="J13" s="39">
        <f t="shared" si="6"/>
        <v>35093.534744913559</v>
      </c>
      <c r="K13" s="39">
        <f t="shared" si="6"/>
        <v>38079.294354966958</v>
      </c>
      <c r="L13" s="39">
        <f t="shared" si="6"/>
        <v>41288.175298684233</v>
      </c>
    </row>
    <row r="14" spans="1:16" x14ac:dyDescent="0.2">
      <c r="A14" s="1" t="s">
        <v>252</v>
      </c>
      <c r="B14" s="3">
        <v>0</v>
      </c>
      <c r="C14" s="3">
        <f ca="1">+B29*B31</f>
        <v>1789.9882887196666</v>
      </c>
      <c r="D14" s="3">
        <f ca="1">+C14</f>
        <v>1789.9882887196666</v>
      </c>
      <c r="E14" s="3">
        <f t="shared" ref="E14:L14" ca="1" si="7">+D14</f>
        <v>1789.9882887196666</v>
      </c>
      <c r="F14" s="3">
        <f t="shared" ca="1" si="7"/>
        <v>1789.9882887196666</v>
      </c>
      <c r="G14" s="3">
        <f t="shared" ca="1" si="7"/>
        <v>1789.9882887196666</v>
      </c>
      <c r="H14" s="3">
        <v>0</v>
      </c>
      <c r="I14" s="3">
        <f t="shared" si="7"/>
        <v>0</v>
      </c>
      <c r="J14" s="3">
        <v>0</v>
      </c>
      <c r="K14" s="3">
        <v>0</v>
      </c>
      <c r="L14" s="3">
        <f t="shared" si="7"/>
        <v>0</v>
      </c>
    </row>
    <row r="15" spans="1:16" x14ac:dyDescent="0.2">
      <c r="A15" s="1" t="s">
        <v>253</v>
      </c>
      <c r="B15" s="39">
        <f>+B13-B14</f>
        <v>21898</v>
      </c>
      <c r="C15" s="39">
        <f t="shared" ref="C15:L15" ca="1" si="8">+C13-C14</f>
        <v>21303.911174916702</v>
      </c>
      <c r="D15" s="39">
        <f t="shared" ca="1" si="8"/>
        <v>23280.833184450919</v>
      </c>
      <c r="E15" s="39">
        <f t="shared" ca="1" si="8"/>
        <v>25402.02734096691</v>
      </c>
      <c r="F15" s="39">
        <f t="shared" ca="1" si="8"/>
        <v>27677.902144688203</v>
      </c>
      <c r="G15" s="39">
        <f t="shared" ca="1" si="8"/>
        <v>25537.733253595659</v>
      </c>
      <c r="H15" s="39">
        <f t="shared" si="8"/>
        <v>29731.474056438274</v>
      </c>
      <c r="I15" s="39">
        <f t="shared" si="8"/>
        <v>32315.663085186505</v>
      </c>
      <c r="J15" s="39">
        <f t="shared" si="8"/>
        <v>35093.534744913559</v>
      </c>
      <c r="K15" s="39">
        <f t="shared" si="8"/>
        <v>38079.294354966958</v>
      </c>
      <c r="L15" s="39">
        <f t="shared" si="8"/>
        <v>41288.175298684233</v>
      </c>
    </row>
    <row r="16" spans="1:16" x14ac:dyDescent="0.2">
      <c r="A16" s="1" t="s">
        <v>254</v>
      </c>
      <c r="B16" s="52">
        <f>+B15*0.3</f>
        <v>6569.4</v>
      </c>
      <c r="C16" s="52">
        <f t="shared" ref="C16:L16" ca="1" si="9">+C15*0.3</f>
        <v>6391.1733524750107</v>
      </c>
      <c r="D16" s="52">
        <f t="shared" ca="1" si="9"/>
        <v>6984.2499553352754</v>
      </c>
      <c r="E16" s="52">
        <f t="shared" ca="1" si="9"/>
        <v>7620.6082022900728</v>
      </c>
      <c r="F16" s="52">
        <f t="shared" ca="1" si="9"/>
        <v>8303.3706434064607</v>
      </c>
      <c r="G16" s="52">
        <f t="shared" ca="1" si="9"/>
        <v>7661.3199760786974</v>
      </c>
      <c r="H16" s="52">
        <f t="shared" si="9"/>
        <v>8919.4422169314821</v>
      </c>
      <c r="I16" s="52">
        <f t="shared" si="9"/>
        <v>9694.6989255559511</v>
      </c>
      <c r="J16" s="52">
        <f t="shared" si="9"/>
        <v>10528.060423474068</v>
      </c>
      <c r="K16" s="52">
        <f t="shared" si="9"/>
        <v>11423.788306490087</v>
      </c>
      <c r="L16" s="52">
        <f t="shared" si="9"/>
        <v>12386.452589605269</v>
      </c>
    </row>
    <row r="17" spans="1:12" ht="16" x14ac:dyDescent="0.2">
      <c r="A17" s="51" t="s">
        <v>255</v>
      </c>
      <c r="B17" s="39">
        <f>+B15-B16</f>
        <v>15328.6</v>
      </c>
      <c r="C17" s="39">
        <f t="shared" ref="C17:L17" ca="1" si="10">+C15-C16</f>
        <v>14912.737822441692</v>
      </c>
      <c r="D17" s="39">
        <f t="shared" ca="1" si="10"/>
        <v>16296.583229115644</v>
      </c>
      <c r="E17" s="39">
        <f t="shared" ca="1" si="10"/>
        <v>17781.419138676836</v>
      </c>
      <c r="F17" s="39">
        <f t="shared" ca="1" si="10"/>
        <v>19374.531501281745</v>
      </c>
      <c r="G17" s="39">
        <f t="shared" ca="1" si="10"/>
        <v>17876.413277516964</v>
      </c>
      <c r="H17" s="39">
        <f t="shared" si="10"/>
        <v>20812.031839506792</v>
      </c>
      <c r="I17" s="39">
        <f t="shared" si="10"/>
        <v>22620.964159630552</v>
      </c>
      <c r="J17" s="39">
        <f t="shared" si="10"/>
        <v>24565.474321439491</v>
      </c>
      <c r="K17" s="39">
        <f t="shared" si="10"/>
        <v>26655.506048476869</v>
      </c>
      <c r="L17" s="39">
        <f t="shared" si="10"/>
        <v>28901.722709078964</v>
      </c>
    </row>
    <row r="19" spans="1:12" x14ac:dyDescent="0.2">
      <c r="A19" s="1" t="s">
        <v>256</v>
      </c>
      <c r="B19" s="39">
        <f>+B12</f>
        <v>3500</v>
      </c>
      <c r="C19" s="39">
        <f t="shared" ref="C19:L19" si="11">+C12</f>
        <v>3500</v>
      </c>
      <c r="D19" s="39">
        <f t="shared" si="11"/>
        <v>3500</v>
      </c>
      <c r="E19" s="39">
        <f t="shared" si="11"/>
        <v>3500</v>
      </c>
      <c r="F19" s="39">
        <f t="shared" si="11"/>
        <v>3500</v>
      </c>
      <c r="G19" s="39">
        <f t="shared" si="11"/>
        <v>3500</v>
      </c>
      <c r="H19" s="39">
        <f t="shared" si="11"/>
        <v>3500</v>
      </c>
      <c r="I19" s="39">
        <f t="shared" si="11"/>
        <v>3500</v>
      </c>
      <c r="J19" s="39">
        <f t="shared" si="11"/>
        <v>3500</v>
      </c>
      <c r="K19" s="39">
        <f t="shared" si="11"/>
        <v>3500</v>
      </c>
      <c r="L19" s="39">
        <f t="shared" si="11"/>
        <v>3500</v>
      </c>
    </row>
    <row r="20" spans="1:12" hidden="1" x14ac:dyDescent="0.2">
      <c r="A20" s="1" t="s">
        <v>257</v>
      </c>
      <c r="C20" s="39"/>
    </row>
    <row r="21" spans="1:12" ht="16" x14ac:dyDescent="0.2">
      <c r="A21" s="51" t="s">
        <v>258</v>
      </c>
      <c r="B21" s="39">
        <f>+B17+B19-B20</f>
        <v>18828.599999999999</v>
      </c>
      <c r="C21" s="39">
        <f ca="1">+C17+C19-C20</f>
        <v>18412.73782244169</v>
      </c>
      <c r="D21" s="39">
        <f t="shared" ref="D21:L21" ca="1" si="12">+D17+D19-D20</f>
        <v>19796.583229115644</v>
      </c>
      <c r="E21" s="39">
        <f t="shared" ca="1" si="12"/>
        <v>21281.419138676836</v>
      </c>
      <c r="F21" s="39">
        <f t="shared" ca="1" si="12"/>
        <v>22874.531501281745</v>
      </c>
      <c r="G21" s="39">
        <f t="shared" ca="1" si="12"/>
        <v>21376.413277516964</v>
      </c>
      <c r="H21" s="39">
        <f t="shared" si="12"/>
        <v>24312.031839506792</v>
      </c>
      <c r="I21" s="39">
        <f t="shared" si="12"/>
        <v>26120.964159630552</v>
      </c>
      <c r="J21" s="39">
        <f t="shared" si="12"/>
        <v>28065.474321439491</v>
      </c>
      <c r="K21" s="39">
        <f t="shared" si="12"/>
        <v>30155.506048476869</v>
      </c>
      <c r="L21" s="39">
        <f t="shared" si="12"/>
        <v>32401.722709078964</v>
      </c>
    </row>
    <row r="22" spans="1:12" x14ac:dyDescent="0.2">
      <c r="A22" s="1" t="s">
        <v>259</v>
      </c>
      <c r="B22" s="52"/>
      <c r="C22" s="52">
        <f ca="1">+B29/5+C14</f>
        <v>10256.388288719667</v>
      </c>
      <c r="D22" s="52">
        <f ca="1">+C22</f>
        <v>10256.388288719667</v>
      </c>
      <c r="E22" s="52">
        <f t="shared" ref="E22:L22" ca="1" si="13">+D22</f>
        <v>10256.388288719667</v>
      </c>
      <c r="F22" s="52">
        <f t="shared" ca="1" si="13"/>
        <v>10256.388288719667</v>
      </c>
      <c r="G22" s="52">
        <v>1162</v>
      </c>
      <c r="H22" s="52">
        <v>0</v>
      </c>
      <c r="I22" s="52">
        <f t="shared" si="13"/>
        <v>0</v>
      </c>
      <c r="J22" s="52">
        <f t="shared" si="13"/>
        <v>0</v>
      </c>
      <c r="K22" s="52">
        <f t="shared" si="13"/>
        <v>0</v>
      </c>
      <c r="L22" s="52">
        <f t="shared" si="13"/>
        <v>0</v>
      </c>
    </row>
    <row r="24" spans="1:12" ht="16" x14ac:dyDescent="0.2">
      <c r="A24" s="51" t="s">
        <v>260</v>
      </c>
      <c r="B24" s="39">
        <f>+B21-B22</f>
        <v>18828.599999999999</v>
      </c>
      <c r="C24" s="39">
        <f ca="1">+C21-C22</f>
        <v>8156.3495337220229</v>
      </c>
      <c r="D24" s="39">
        <f t="shared" ref="D24:L24" ca="1" si="14">+D21-D22</f>
        <v>9540.194940395977</v>
      </c>
      <c r="E24" s="39">
        <f t="shared" ca="1" si="14"/>
        <v>11025.030849957169</v>
      </c>
      <c r="F24" s="39">
        <f t="shared" ca="1" si="14"/>
        <v>12618.143212562078</v>
      </c>
      <c r="G24" s="39">
        <f t="shared" ca="1" si="14"/>
        <v>20214.413277516964</v>
      </c>
      <c r="H24" s="39">
        <f t="shared" si="14"/>
        <v>24312.031839506792</v>
      </c>
      <c r="I24" s="39">
        <f t="shared" si="14"/>
        <v>26120.964159630552</v>
      </c>
      <c r="J24" s="39">
        <f t="shared" si="14"/>
        <v>28065.474321439491</v>
      </c>
      <c r="K24" s="39">
        <f t="shared" si="14"/>
        <v>30155.506048476869</v>
      </c>
      <c r="L24" s="39">
        <f t="shared" si="14"/>
        <v>32401.722709078964</v>
      </c>
    </row>
    <row r="28" spans="1:12" ht="16" x14ac:dyDescent="0.2">
      <c r="A28" s="51" t="s">
        <v>261</v>
      </c>
      <c r="B28" s="52">
        <v>0</v>
      </c>
      <c r="C28" s="52">
        <f ca="1">+B28+B29-C22</f>
        <v>32075.611711280333</v>
      </c>
      <c r="D28" s="52">
        <f t="shared" ref="D28:G28" ca="1" si="15">+C28+C29-D22</f>
        <v>21819.223422560666</v>
      </c>
      <c r="E28" s="52">
        <f t="shared" ca="1" si="15"/>
        <v>11562.835133840999</v>
      </c>
      <c r="F28" s="52">
        <f t="shared" ca="1" si="15"/>
        <v>1306.4468451213324</v>
      </c>
      <c r="G28" s="52">
        <f t="shared" ca="1" si="15"/>
        <v>144.44684512133244</v>
      </c>
      <c r="H28" s="52"/>
      <c r="I28" s="52"/>
      <c r="J28" s="52"/>
      <c r="K28" s="52"/>
      <c r="L28" s="52"/>
    </row>
    <row r="29" spans="1:12" s="55" customFormat="1" ht="16" x14ac:dyDescent="0.2">
      <c r="A29" s="54" t="s">
        <v>262</v>
      </c>
      <c r="B29" s="57">
        <f>+('Datos Proporcionados CL Circula'!B2+'Datos Proporcionados CL Circula'!B5)*'Con finacimiento OPTIMISTA'!P3</f>
        <v>42332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</row>
    <row r="30" spans="1:12" x14ac:dyDescent="0.2">
      <c r="A30" s="1" t="s">
        <v>263</v>
      </c>
      <c r="B30" s="46">
        <f>+B28/B11</f>
        <v>0</v>
      </c>
      <c r="C30" s="46">
        <f t="shared" ref="C30:L30" ca="1" si="16">+C28/C11</f>
        <v>1.2061266816150629</v>
      </c>
      <c r="D30" s="46">
        <f t="shared" ca="1" si="16"/>
        <v>0.7636890469897758</v>
      </c>
      <c r="E30" s="46">
        <f t="shared" ca="1" si="16"/>
        <v>0.37673756176042578</v>
      </c>
      <c r="F30" s="46">
        <f t="shared" ca="1" si="16"/>
        <v>3.9627856922184207E-2</v>
      </c>
      <c r="G30" s="46">
        <f t="shared" ca="1" si="16"/>
        <v>4.6856153453656672E-3</v>
      </c>
      <c r="H30" s="46">
        <f t="shared" si="16"/>
        <v>0</v>
      </c>
      <c r="I30" s="46">
        <f t="shared" si="16"/>
        <v>0</v>
      </c>
      <c r="J30" s="46">
        <f t="shared" si="16"/>
        <v>0</v>
      </c>
      <c r="K30" s="46">
        <f t="shared" si="16"/>
        <v>0</v>
      </c>
      <c r="L30" s="46">
        <f t="shared" si="16"/>
        <v>0</v>
      </c>
    </row>
    <row r="31" spans="1:12" x14ac:dyDescent="0.2">
      <c r="A31" s="1" t="s">
        <v>252</v>
      </c>
      <c r="B31" s="6">
        <f ca="1">+'EUR A MXN'!H7+Supuestos!B3</f>
        <v>4.228451971840845E-2</v>
      </c>
      <c r="C31" s="6">
        <f ca="1">+B31</f>
        <v>4.228451971840845E-2</v>
      </c>
      <c r="D31" s="6">
        <f t="shared" ref="D31:L31" ca="1" si="17">+C31</f>
        <v>4.228451971840845E-2</v>
      </c>
      <c r="E31" s="6">
        <f t="shared" ca="1" si="17"/>
        <v>4.228451971840845E-2</v>
      </c>
      <c r="F31" s="6">
        <f t="shared" ca="1" si="17"/>
        <v>4.228451971840845E-2</v>
      </c>
      <c r="G31" s="6">
        <f t="shared" ca="1" si="17"/>
        <v>4.228451971840845E-2</v>
      </c>
      <c r="H31" s="6">
        <f t="shared" ca="1" si="17"/>
        <v>4.228451971840845E-2</v>
      </c>
      <c r="I31" s="6">
        <f t="shared" ca="1" si="17"/>
        <v>4.228451971840845E-2</v>
      </c>
      <c r="J31" s="6">
        <f t="shared" ca="1" si="17"/>
        <v>4.228451971840845E-2</v>
      </c>
      <c r="K31" s="6">
        <f t="shared" ca="1" si="17"/>
        <v>4.228451971840845E-2</v>
      </c>
      <c r="L31" s="6">
        <f t="shared" ca="1" si="17"/>
        <v>4.228451971840845E-2</v>
      </c>
    </row>
    <row r="33" spans="1:12" s="55" customFormat="1" x14ac:dyDescent="0.2">
      <c r="A33" s="55" t="s">
        <v>264</v>
      </c>
      <c r="B33" s="56">
        <f>-B24+B14+B22</f>
        <v>-18828.599999999999</v>
      </c>
      <c r="C33" s="56">
        <f ca="1">-C24+C14+C22</f>
        <v>3890.0270437173103</v>
      </c>
      <c r="D33" s="56">
        <f t="shared" ref="D33:L33" ca="1" si="18">-D24+D14+D22</f>
        <v>2506.1816370433562</v>
      </c>
      <c r="E33" s="56">
        <f t="shared" ca="1" si="18"/>
        <v>1021.3457274821649</v>
      </c>
      <c r="F33" s="56">
        <f ca="1">-F24+F14+F22</f>
        <v>-571.76663512274354</v>
      </c>
      <c r="G33" s="56">
        <f t="shared" ca="1" si="18"/>
        <v>-17262.424988797298</v>
      </c>
      <c r="H33" s="56">
        <f t="shared" si="18"/>
        <v>-24312.031839506792</v>
      </c>
      <c r="I33" s="56">
        <f t="shared" si="18"/>
        <v>-26120.964159630552</v>
      </c>
      <c r="J33" s="56">
        <f t="shared" si="18"/>
        <v>-28065.474321439491</v>
      </c>
      <c r="K33" s="56">
        <f t="shared" si="18"/>
        <v>-30155.506048476869</v>
      </c>
      <c r="L33" s="56">
        <f t="shared" si="18"/>
        <v>-32401.722709078964</v>
      </c>
    </row>
    <row r="34" spans="1:12" ht="16" hidden="1" x14ac:dyDescent="0.2">
      <c r="A34" s="51" t="s">
        <v>265</v>
      </c>
      <c r="C34" s="39"/>
    </row>
    <row r="36" spans="1:12" ht="16" x14ac:dyDescent="0.2">
      <c r="A36" s="51" t="s">
        <v>266</v>
      </c>
    </row>
    <row r="39" spans="1:12" ht="16" x14ac:dyDescent="0.2">
      <c r="A39" s="51" t="s">
        <v>267</v>
      </c>
      <c r="B39" s="39">
        <f>+B24-B36</f>
        <v>18828.599999999999</v>
      </c>
      <c r="C39" s="39">
        <f t="shared" ref="C39:L39" ca="1" si="19">+C24-C36</f>
        <v>8156.3495337220229</v>
      </c>
      <c r="D39" s="39">
        <f t="shared" ca="1" si="19"/>
        <v>9540.194940395977</v>
      </c>
      <c r="E39" s="39">
        <f t="shared" ca="1" si="19"/>
        <v>11025.030849957169</v>
      </c>
      <c r="F39" s="39">
        <f t="shared" ca="1" si="19"/>
        <v>12618.143212562078</v>
      </c>
      <c r="G39" s="39">
        <f t="shared" ca="1" si="19"/>
        <v>20214.413277516964</v>
      </c>
      <c r="H39" s="39">
        <f t="shared" si="19"/>
        <v>24312.031839506792</v>
      </c>
      <c r="I39" s="39">
        <f t="shared" si="19"/>
        <v>26120.964159630552</v>
      </c>
      <c r="J39" s="39">
        <f t="shared" si="19"/>
        <v>28065.474321439491</v>
      </c>
      <c r="K39" s="39">
        <f t="shared" si="19"/>
        <v>30155.506048476869</v>
      </c>
      <c r="L39" s="39">
        <f t="shared" si="19"/>
        <v>32401.722709078964</v>
      </c>
    </row>
    <row r="40" spans="1:12" x14ac:dyDescent="0.2">
      <c r="A40" s="1" t="s">
        <v>268</v>
      </c>
      <c r="L40" s="52">
        <f>+L11*4</f>
        <v>179152.70119473693</v>
      </c>
    </row>
    <row r="41" spans="1:12" x14ac:dyDescent="0.2">
      <c r="A41" s="1" t="s">
        <v>269</v>
      </c>
      <c r="B41" s="39">
        <f t="shared" ref="B41:K41" si="20">+B39+B40</f>
        <v>18828.599999999999</v>
      </c>
      <c r="C41" s="39">
        <f t="shared" ca="1" si="20"/>
        <v>8156.3495337220229</v>
      </c>
      <c r="D41" s="39">
        <f t="shared" ca="1" si="20"/>
        <v>9540.194940395977</v>
      </c>
      <c r="E41" s="39">
        <f t="shared" ca="1" si="20"/>
        <v>11025.030849957169</v>
      </c>
      <c r="F41" s="39">
        <f t="shared" ca="1" si="20"/>
        <v>12618.143212562078</v>
      </c>
      <c r="G41" s="39">
        <f t="shared" ca="1" si="20"/>
        <v>20214.413277516964</v>
      </c>
      <c r="H41" s="39">
        <f t="shared" si="20"/>
        <v>24312.031839506792</v>
      </c>
      <c r="I41" s="39">
        <f t="shared" si="20"/>
        <v>26120.964159630552</v>
      </c>
      <c r="J41" s="39">
        <f t="shared" si="20"/>
        <v>28065.474321439491</v>
      </c>
      <c r="K41" s="39">
        <f t="shared" si="20"/>
        <v>30155.506048476869</v>
      </c>
      <c r="L41" s="39">
        <f>+L39+L40</f>
        <v>211554.42390381588</v>
      </c>
    </row>
    <row r="43" spans="1:12" ht="16" x14ac:dyDescent="0.2">
      <c r="A43" s="51" t="s">
        <v>270</v>
      </c>
    </row>
    <row r="46" spans="1:12" ht="16" x14ac:dyDescent="0.2">
      <c r="A46" s="51" t="s">
        <v>271</v>
      </c>
      <c r="C46" s="58"/>
    </row>
    <row r="47" spans="1:12" x14ac:dyDescent="0.2">
      <c r="B47" s="58"/>
    </row>
    <row r="48" spans="1:12" x14ac:dyDescent="0.2">
      <c r="C48" s="58"/>
    </row>
    <row r="49" spans="2:3" x14ac:dyDescent="0.2">
      <c r="B49" s="58"/>
    </row>
    <row r="50" spans="2:3" x14ac:dyDescent="0.2">
      <c r="C50" s="58"/>
    </row>
    <row r="52" spans="2:3" x14ac:dyDescent="0.2">
      <c r="C52" s="58"/>
    </row>
    <row r="53" spans="2:3" x14ac:dyDescent="0.2">
      <c r="C5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Supuestos</vt:lpstr>
      <vt:lpstr>EUR A MXN</vt:lpstr>
      <vt:lpstr>Datos Proporcionados CL Circula</vt:lpstr>
      <vt:lpstr>Bono español a 10 años</vt:lpstr>
      <vt:lpstr>Inflación INEGI</vt:lpstr>
      <vt:lpstr>Industria Automotriz</vt:lpstr>
      <vt:lpstr>Sin Financiamiento</vt:lpstr>
      <vt:lpstr>Con finacimiento</vt:lpstr>
      <vt:lpstr>Con finacimiento PESIMISTA</vt:lpstr>
      <vt:lpstr>Con finacimiento OPTIMISTA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Serrano Flores</dc:creator>
  <cp:lastModifiedBy>Frida Laniado Abud</cp:lastModifiedBy>
  <dcterms:created xsi:type="dcterms:W3CDTF">2026-03-08T14:51:37Z</dcterms:created>
  <dcterms:modified xsi:type="dcterms:W3CDTF">2026-03-10T17:45:00Z</dcterms:modified>
</cp:coreProperties>
</file>